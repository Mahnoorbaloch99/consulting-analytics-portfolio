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hnoorbaloch/Documents/USI/EMI/Financial Model/"/>
    </mc:Choice>
  </mc:AlternateContent>
  <xr:revisionPtr revIDLastSave="0" documentId="13_ncr:1_{399C8E31-DCF2-6F4E-8DEF-8BA1AAE5BAD7}" xr6:coauthVersionLast="47" xr6:coauthVersionMax="47" xr10:uidLastSave="{00000000-0000-0000-0000-000000000000}"/>
  <bookViews>
    <workbookView xWindow="0" yWindow="760" windowWidth="29400" windowHeight="17200" xr2:uid="{0B2BDB77-23B2-D54C-AE72-A250351BC95C}"/>
  </bookViews>
  <sheets>
    <sheet name="Assumptions" sheetId="1" r:id="rId1"/>
    <sheet name="Income Statement (Margins)" sheetId="3" r:id="rId2"/>
    <sheet name="Business Pop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6" i="1" l="1"/>
  <c r="I126" i="1"/>
  <c r="J126" i="1"/>
  <c r="K126" i="1"/>
  <c r="L126" i="1"/>
  <c r="M126" i="1"/>
  <c r="N126" i="1"/>
  <c r="O126" i="1"/>
  <c r="P126" i="1"/>
  <c r="Q126" i="1"/>
  <c r="R126" i="1"/>
  <c r="G126" i="1"/>
  <c r="H125" i="1"/>
  <c r="I125" i="1"/>
  <c r="J125" i="1"/>
  <c r="K125" i="1"/>
  <c r="L125" i="1"/>
  <c r="M125" i="1"/>
  <c r="N125" i="1"/>
  <c r="O125" i="1"/>
  <c r="P125" i="1"/>
  <c r="Q125" i="1"/>
  <c r="R125" i="1"/>
  <c r="G14" i="1"/>
  <c r="G13" i="1"/>
  <c r="G10" i="1"/>
  <c r="G11" i="1" s="1"/>
  <c r="G12" i="1" s="1"/>
  <c r="G18" i="1" s="1"/>
  <c r="S62" i="1"/>
  <c r="T62" i="1"/>
  <c r="S63" i="1"/>
  <c r="S111" i="1" s="1"/>
  <c r="T63" i="1"/>
  <c r="T111" i="1" s="1"/>
  <c r="S64" i="1"/>
  <c r="T64" i="1"/>
  <c r="S108" i="1"/>
  <c r="T108" i="1"/>
  <c r="S42" i="1"/>
  <c r="T42" i="1"/>
  <c r="S38" i="1"/>
  <c r="S61" i="1" s="1"/>
  <c r="S109" i="1" s="1"/>
  <c r="T38" i="1"/>
  <c r="T61" i="1" s="1"/>
  <c r="T109" i="1" s="1"/>
  <c r="S37" i="1"/>
  <c r="S60" i="1" s="1"/>
  <c r="T37" i="1"/>
  <c r="T60" i="1" s="1"/>
  <c r="S35" i="1"/>
  <c r="S135" i="1" s="1"/>
  <c r="T35" i="1"/>
  <c r="T135" i="1" s="1"/>
  <c r="T19" i="1"/>
  <c r="S19" i="1"/>
  <c r="S31" i="1"/>
  <c r="S53" i="1" s="1"/>
  <c r="T31" i="1"/>
  <c r="T53" i="1" s="1"/>
  <c r="G31" i="1"/>
  <c r="G36" i="1" s="1"/>
  <c r="G44" i="1" s="1"/>
  <c r="S11" i="1"/>
  <c r="S57" i="1" s="1"/>
  <c r="T11" i="1"/>
  <c r="T57" i="1" s="1"/>
  <c r="C90" i="1"/>
  <c r="L90" i="1" s="1"/>
  <c r="H9" i="3" s="1"/>
  <c r="D7" i="3"/>
  <c r="E7" i="3"/>
  <c r="F7" i="3"/>
  <c r="G7" i="3"/>
  <c r="H7" i="3"/>
  <c r="I7" i="3"/>
  <c r="J7" i="3"/>
  <c r="K7" i="3"/>
  <c r="L7" i="3"/>
  <c r="M7" i="3"/>
  <c r="N7" i="3"/>
  <c r="C7" i="3"/>
  <c r="T136" i="1"/>
  <c r="S136" i="1"/>
  <c r="S132" i="1"/>
  <c r="T132" i="1"/>
  <c r="C29" i="1"/>
  <c r="H29" i="1" s="1"/>
  <c r="H9" i="1"/>
  <c r="H14" i="1" s="1"/>
  <c r="G48" i="1" l="1"/>
  <c r="G50" i="1"/>
  <c r="G49" i="1"/>
  <c r="H10" i="1"/>
  <c r="G53" i="1"/>
  <c r="H13" i="1"/>
  <c r="G32" i="1"/>
  <c r="G33" i="1" s="1"/>
  <c r="G34" i="1" s="1"/>
  <c r="S47" i="1"/>
  <c r="G35" i="1"/>
  <c r="G47" i="1"/>
  <c r="G68" i="1" s="1"/>
  <c r="G74" i="1" s="1"/>
  <c r="T47" i="1"/>
  <c r="G69" i="1"/>
  <c r="G134" i="1"/>
  <c r="G70" i="1"/>
  <c r="G71" i="1"/>
  <c r="G125" i="1"/>
  <c r="G19" i="1"/>
  <c r="H19" i="1" s="1"/>
  <c r="H31" i="1"/>
  <c r="G15" i="1"/>
  <c r="G16" i="1"/>
  <c r="G17" i="1"/>
  <c r="T49" i="1"/>
  <c r="S49" i="1"/>
  <c r="P90" i="1"/>
  <c r="L9" i="3" s="1"/>
  <c r="N90" i="1"/>
  <c r="J9" i="3" s="1"/>
  <c r="M90" i="1"/>
  <c r="I9" i="3" s="1"/>
  <c r="O90" i="1"/>
  <c r="K9" i="3" s="1"/>
  <c r="Q90" i="1"/>
  <c r="M9" i="3" s="1"/>
  <c r="I90" i="1"/>
  <c r="E9" i="3" s="1"/>
  <c r="G90" i="1"/>
  <c r="C9" i="3" s="1"/>
  <c r="H90" i="1"/>
  <c r="D9" i="3" s="1"/>
  <c r="K90" i="1"/>
  <c r="G9" i="3" s="1"/>
  <c r="R90" i="1"/>
  <c r="N9" i="3" s="1"/>
  <c r="J90" i="1"/>
  <c r="F9" i="3" s="1"/>
  <c r="G135" i="1"/>
  <c r="I29" i="1"/>
  <c r="I9" i="1"/>
  <c r="G140" i="1" l="1"/>
  <c r="G77" i="1"/>
  <c r="G107" i="1"/>
  <c r="G102" i="1"/>
  <c r="G136" i="1"/>
  <c r="G75" i="1"/>
  <c r="G138" i="1"/>
  <c r="G76" i="1"/>
  <c r="G54" i="1"/>
  <c r="G42" i="1"/>
  <c r="G43" i="1" s="1"/>
  <c r="G37" i="1"/>
  <c r="G55" i="1"/>
  <c r="G57" i="1"/>
  <c r="I10" i="1"/>
  <c r="H11" i="1"/>
  <c r="H12" i="1" s="1"/>
  <c r="I13" i="1"/>
  <c r="I14" i="1"/>
  <c r="I19" i="1" s="1"/>
  <c r="G40" i="1"/>
  <c r="G63" i="1" s="1"/>
  <c r="G60" i="1"/>
  <c r="G38" i="1"/>
  <c r="H48" i="1"/>
  <c r="H69" i="1" s="1"/>
  <c r="H47" i="1"/>
  <c r="H49" i="1"/>
  <c r="H70" i="1" s="1"/>
  <c r="H50" i="1"/>
  <c r="H71" i="1" s="1"/>
  <c r="H35" i="1"/>
  <c r="H36" i="1"/>
  <c r="H44" i="1" s="1"/>
  <c r="H32" i="1"/>
  <c r="G65" i="1"/>
  <c r="G106" i="1" s="1"/>
  <c r="G61" i="1"/>
  <c r="G109" i="1" s="1"/>
  <c r="G58" i="1"/>
  <c r="G39" i="1"/>
  <c r="G62" i="1" s="1"/>
  <c r="G41" i="1"/>
  <c r="G139" i="1"/>
  <c r="G137" i="1"/>
  <c r="G56" i="1"/>
  <c r="G115" i="1" s="1"/>
  <c r="H53" i="1"/>
  <c r="I31" i="1"/>
  <c r="J29" i="1"/>
  <c r="J9" i="1"/>
  <c r="H136" i="1" l="1"/>
  <c r="H75" i="1"/>
  <c r="G59" i="1"/>
  <c r="G113" i="1"/>
  <c r="G111" i="1"/>
  <c r="G112" i="1"/>
  <c r="H140" i="1"/>
  <c r="H77" i="1"/>
  <c r="H138" i="1"/>
  <c r="H76" i="1"/>
  <c r="G105" i="1"/>
  <c r="G108" i="1"/>
  <c r="H107" i="1"/>
  <c r="H102" i="1"/>
  <c r="G110" i="1"/>
  <c r="G104" i="1"/>
  <c r="G103" i="1"/>
  <c r="H68" i="1"/>
  <c r="H74" i="1" s="1"/>
  <c r="J10" i="1"/>
  <c r="I11" i="1"/>
  <c r="I12" i="1" s="1"/>
  <c r="I16" i="1" s="1"/>
  <c r="J13" i="1"/>
  <c r="J14" i="1"/>
  <c r="J19" i="1" s="1"/>
  <c r="H54" i="1"/>
  <c r="H33" i="1"/>
  <c r="I32" i="1"/>
  <c r="I35" i="1"/>
  <c r="I50" i="1"/>
  <c r="I47" i="1"/>
  <c r="I36" i="1"/>
  <c r="I44" i="1" s="1"/>
  <c r="I48" i="1"/>
  <c r="I135" i="1" s="1"/>
  <c r="I49" i="1"/>
  <c r="I70" i="1" s="1"/>
  <c r="C4" i="3"/>
  <c r="G45" i="1"/>
  <c r="G64" i="1"/>
  <c r="H58" i="1"/>
  <c r="H56" i="1"/>
  <c r="H115" i="1" s="1"/>
  <c r="H137" i="1"/>
  <c r="H135" i="1"/>
  <c r="I71" i="1"/>
  <c r="I134" i="1"/>
  <c r="H139" i="1"/>
  <c r="H134" i="1"/>
  <c r="I53" i="1"/>
  <c r="H16" i="1"/>
  <c r="J31" i="1"/>
  <c r="H17" i="1"/>
  <c r="H18" i="1"/>
  <c r="H15" i="1"/>
  <c r="K9" i="1"/>
  <c r="K29" i="1"/>
  <c r="C8" i="3" l="1"/>
  <c r="C11" i="3" s="1"/>
  <c r="H110" i="1"/>
  <c r="H103" i="1"/>
  <c r="H104" i="1"/>
  <c r="H59" i="1"/>
  <c r="H113" i="1"/>
  <c r="I140" i="1"/>
  <c r="I77" i="1"/>
  <c r="I107" i="1"/>
  <c r="I102" i="1"/>
  <c r="I15" i="1"/>
  <c r="I138" i="1"/>
  <c r="I76" i="1"/>
  <c r="I18" i="1"/>
  <c r="K14" i="1"/>
  <c r="K19" i="1" s="1"/>
  <c r="K13" i="1"/>
  <c r="I17" i="1"/>
  <c r="K10" i="1"/>
  <c r="J11" i="1"/>
  <c r="J12" i="1" s="1"/>
  <c r="J18" i="1" s="1"/>
  <c r="J50" i="1"/>
  <c r="J139" i="1" s="1"/>
  <c r="J49" i="1"/>
  <c r="J137" i="1" s="1"/>
  <c r="J35" i="1"/>
  <c r="J47" i="1"/>
  <c r="J134" i="1" s="1"/>
  <c r="J48" i="1"/>
  <c r="J36" i="1"/>
  <c r="J44" i="1" s="1"/>
  <c r="J32" i="1"/>
  <c r="I33" i="1"/>
  <c r="H34" i="1"/>
  <c r="H55" i="1" s="1"/>
  <c r="H57" i="1"/>
  <c r="H42" i="1"/>
  <c r="H43" i="1" s="1"/>
  <c r="C13" i="3"/>
  <c r="I58" i="1"/>
  <c r="J53" i="1"/>
  <c r="D4" i="3"/>
  <c r="I69" i="1"/>
  <c r="I54" i="1"/>
  <c r="I68" i="1"/>
  <c r="I74" i="1" s="1"/>
  <c r="I139" i="1"/>
  <c r="I56" i="1"/>
  <c r="I115" i="1" s="1"/>
  <c r="I137" i="1"/>
  <c r="K31" i="1"/>
  <c r="L29" i="1"/>
  <c r="L9" i="1"/>
  <c r="I59" i="1" l="1"/>
  <c r="I113" i="1"/>
  <c r="H105" i="1"/>
  <c r="H108" i="1"/>
  <c r="I103" i="1"/>
  <c r="I104" i="1"/>
  <c r="I110" i="1"/>
  <c r="I136" i="1"/>
  <c r="E4" i="3" s="1"/>
  <c r="I75" i="1"/>
  <c r="J107" i="1"/>
  <c r="J102" i="1"/>
  <c r="L13" i="1"/>
  <c r="L14" i="1"/>
  <c r="L19" i="1" s="1"/>
  <c r="L10" i="1"/>
  <c r="K11" i="1"/>
  <c r="K12" i="1" s="1"/>
  <c r="K16" i="1" s="1"/>
  <c r="K47" i="1"/>
  <c r="K36" i="1"/>
  <c r="K44" i="1" s="1"/>
  <c r="K48" i="1"/>
  <c r="K35" i="1"/>
  <c r="K49" i="1"/>
  <c r="K137" i="1" s="1"/>
  <c r="K50" i="1"/>
  <c r="K139" i="1" s="1"/>
  <c r="H41" i="1"/>
  <c r="H40" i="1"/>
  <c r="H63" i="1" s="1"/>
  <c r="H37" i="1"/>
  <c r="H60" i="1" s="1"/>
  <c r="H38" i="1"/>
  <c r="H61" i="1" s="1"/>
  <c r="H109" i="1" s="1"/>
  <c r="H39" i="1"/>
  <c r="H62" i="1" s="1"/>
  <c r="H65" i="1"/>
  <c r="H106" i="1" s="1"/>
  <c r="I34" i="1"/>
  <c r="I57" i="1"/>
  <c r="I42" i="1"/>
  <c r="I43" i="1" s="1"/>
  <c r="K32" i="1"/>
  <c r="J33" i="1"/>
  <c r="J58" i="1"/>
  <c r="J54" i="1"/>
  <c r="J68" i="1"/>
  <c r="J74" i="1" s="1"/>
  <c r="J69" i="1"/>
  <c r="J56" i="1"/>
  <c r="J115" i="1" s="1"/>
  <c r="J70" i="1"/>
  <c r="J135" i="1"/>
  <c r="J17" i="1"/>
  <c r="J15" i="1"/>
  <c r="J16" i="1"/>
  <c r="J71" i="1"/>
  <c r="K53" i="1"/>
  <c r="L31" i="1"/>
  <c r="M9" i="1"/>
  <c r="M29" i="1"/>
  <c r="I105" i="1" l="1"/>
  <c r="I108" i="1"/>
  <c r="K15" i="1"/>
  <c r="J103" i="1"/>
  <c r="J104" i="1"/>
  <c r="J110" i="1"/>
  <c r="H112" i="1"/>
  <c r="H111" i="1"/>
  <c r="D8" i="3" s="1"/>
  <c r="D11" i="3" s="1"/>
  <c r="D13" i="3" s="1"/>
  <c r="J138" i="1"/>
  <c r="J76" i="1"/>
  <c r="K102" i="1"/>
  <c r="K107" i="1"/>
  <c r="J136" i="1"/>
  <c r="F4" i="3" s="1"/>
  <c r="J75" i="1"/>
  <c r="K17" i="1"/>
  <c r="J59" i="1"/>
  <c r="J113" i="1"/>
  <c r="J140" i="1"/>
  <c r="J77" i="1"/>
  <c r="K18" i="1"/>
  <c r="M10" i="1"/>
  <c r="L11" i="1"/>
  <c r="L12" i="1" s="1"/>
  <c r="L17" i="1" s="1"/>
  <c r="M14" i="1"/>
  <c r="M19" i="1" s="1"/>
  <c r="M13" i="1"/>
  <c r="J57" i="1"/>
  <c r="J42" i="1"/>
  <c r="J43" i="1" s="1"/>
  <c r="J34" i="1"/>
  <c r="L32" i="1"/>
  <c r="K33" i="1"/>
  <c r="I65" i="1"/>
  <c r="I106" i="1" s="1"/>
  <c r="I55" i="1"/>
  <c r="I41" i="1"/>
  <c r="I37" i="1"/>
  <c r="I60" i="1" s="1"/>
  <c r="I38" i="1"/>
  <c r="I61" i="1" s="1"/>
  <c r="I109" i="1" s="1"/>
  <c r="I40" i="1"/>
  <c r="I63" i="1" s="1"/>
  <c r="I39" i="1"/>
  <c r="I62" i="1" s="1"/>
  <c r="L49" i="1"/>
  <c r="L36" i="1"/>
  <c r="L44" i="1" s="1"/>
  <c r="L48" i="1"/>
  <c r="L50" i="1"/>
  <c r="L35" i="1"/>
  <c r="L47" i="1"/>
  <c r="H64" i="1"/>
  <c r="H45" i="1"/>
  <c r="K58" i="1"/>
  <c r="K69" i="1"/>
  <c r="K68" i="1"/>
  <c r="K74" i="1" s="1"/>
  <c r="K134" i="1"/>
  <c r="K70" i="1"/>
  <c r="K56" i="1"/>
  <c r="K115" i="1" s="1"/>
  <c r="K54" i="1"/>
  <c r="K71" i="1"/>
  <c r="L53" i="1"/>
  <c r="K135" i="1"/>
  <c r="M31" i="1"/>
  <c r="N29" i="1"/>
  <c r="N9" i="1"/>
  <c r="L102" i="1" l="1"/>
  <c r="L107" i="1"/>
  <c r="K140" i="1"/>
  <c r="K77" i="1"/>
  <c r="L16" i="1"/>
  <c r="K59" i="1"/>
  <c r="K113" i="1"/>
  <c r="K110" i="1"/>
  <c r="K103" i="1"/>
  <c r="K104" i="1"/>
  <c r="K138" i="1"/>
  <c r="K76" i="1"/>
  <c r="I112" i="1"/>
  <c r="I111" i="1"/>
  <c r="L15" i="1"/>
  <c r="K136" i="1"/>
  <c r="G4" i="3" s="1"/>
  <c r="K75" i="1"/>
  <c r="L18" i="1"/>
  <c r="J108" i="1"/>
  <c r="J105" i="1"/>
  <c r="N10" i="1"/>
  <c r="M11" i="1"/>
  <c r="M12" i="1" s="1"/>
  <c r="M15" i="1" s="1"/>
  <c r="N13" i="1"/>
  <c r="N14" i="1"/>
  <c r="N19" i="1" s="1"/>
  <c r="M32" i="1"/>
  <c r="L33" i="1"/>
  <c r="K42" i="1"/>
  <c r="K43" i="1" s="1"/>
  <c r="K34" i="1"/>
  <c r="K57" i="1"/>
  <c r="J65" i="1"/>
  <c r="J106" i="1" s="1"/>
  <c r="M49" i="1"/>
  <c r="M48" i="1"/>
  <c r="M50" i="1"/>
  <c r="M139" i="1" s="1"/>
  <c r="M36" i="1"/>
  <c r="M44" i="1" s="1"/>
  <c r="M47" i="1"/>
  <c r="M134" i="1" s="1"/>
  <c r="M35" i="1"/>
  <c r="J55" i="1"/>
  <c r="E8" i="3"/>
  <c r="E11" i="3" s="1"/>
  <c r="E13" i="3" s="1"/>
  <c r="J41" i="1"/>
  <c r="J37" i="1"/>
  <c r="J60" i="1" s="1"/>
  <c r="J38" i="1"/>
  <c r="J61" i="1" s="1"/>
  <c r="J109" i="1" s="1"/>
  <c r="J40" i="1"/>
  <c r="J63" i="1" s="1"/>
  <c r="J39" i="1"/>
  <c r="J62" i="1" s="1"/>
  <c r="I64" i="1"/>
  <c r="I45" i="1"/>
  <c r="L68" i="1"/>
  <c r="L74" i="1" s="1"/>
  <c r="L69" i="1"/>
  <c r="L58" i="1"/>
  <c r="L134" i="1"/>
  <c r="L70" i="1"/>
  <c r="L56" i="1"/>
  <c r="L115" i="1" s="1"/>
  <c r="L54" i="1"/>
  <c r="L137" i="1"/>
  <c r="L135" i="1"/>
  <c r="L71" i="1"/>
  <c r="L139" i="1"/>
  <c r="M53" i="1"/>
  <c r="N31" i="1"/>
  <c r="O9" i="1"/>
  <c r="O29" i="1"/>
  <c r="L110" i="1" l="1"/>
  <c r="L104" i="1"/>
  <c r="L103" i="1"/>
  <c r="K108" i="1"/>
  <c r="K105" i="1"/>
  <c r="L136" i="1"/>
  <c r="L75" i="1"/>
  <c r="L140" i="1"/>
  <c r="L77" i="1"/>
  <c r="L138" i="1"/>
  <c r="L76" i="1"/>
  <c r="L59" i="1"/>
  <c r="L113" i="1"/>
  <c r="M17" i="1"/>
  <c r="M102" i="1"/>
  <c r="M107" i="1"/>
  <c r="J111" i="1"/>
  <c r="J112" i="1"/>
  <c r="M16" i="1"/>
  <c r="M18" i="1"/>
  <c r="O10" i="1"/>
  <c r="N11" i="1"/>
  <c r="N12" i="1" s="1"/>
  <c r="N15" i="1" s="1"/>
  <c r="O14" i="1"/>
  <c r="O19" i="1" s="1"/>
  <c r="O13" i="1"/>
  <c r="K55" i="1"/>
  <c r="F8" i="3"/>
  <c r="F11" i="3" s="1"/>
  <c r="F13" i="3" s="1"/>
  <c r="J64" i="1"/>
  <c r="J45" i="1"/>
  <c r="L34" i="1"/>
  <c r="L42" i="1"/>
  <c r="L43" i="1" s="1"/>
  <c r="L57" i="1"/>
  <c r="K41" i="1"/>
  <c r="K37" i="1"/>
  <c r="K60" i="1" s="1"/>
  <c r="K38" i="1"/>
  <c r="K61" i="1" s="1"/>
  <c r="K109" i="1" s="1"/>
  <c r="K39" i="1"/>
  <c r="K62" i="1" s="1"/>
  <c r="K40" i="1"/>
  <c r="K63" i="1" s="1"/>
  <c r="N32" i="1"/>
  <c r="M33" i="1"/>
  <c r="N35" i="1"/>
  <c r="N36" i="1"/>
  <c r="N44" i="1" s="1"/>
  <c r="N47" i="1"/>
  <c r="N134" i="1" s="1"/>
  <c r="N50" i="1"/>
  <c r="N139" i="1" s="1"/>
  <c r="N48" i="1"/>
  <c r="N49" i="1"/>
  <c r="N137" i="1" s="1"/>
  <c r="K65" i="1"/>
  <c r="K106" i="1" s="1"/>
  <c r="M69" i="1"/>
  <c r="M58" i="1"/>
  <c r="M54" i="1"/>
  <c r="M71" i="1"/>
  <c r="M68" i="1"/>
  <c r="M74" i="1" s="1"/>
  <c r="M56" i="1"/>
  <c r="M115" i="1" s="1"/>
  <c r="N53" i="1"/>
  <c r="M70" i="1"/>
  <c r="M135" i="1"/>
  <c r="M137" i="1"/>
  <c r="O31" i="1"/>
  <c r="P29" i="1"/>
  <c r="P9" i="1"/>
  <c r="H4" i="3" l="1"/>
  <c r="K111" i="1"/>
  <c r="K112" i="1"/>
  <c r="L105" i="1"/>
  <c r="L108" i="1"/>
  <c r="M138" i="1"/>
  <c r="M76" i="1"/>
  <c r="M59" i="1"/>
  <c r="M113" i="1"/>
  <c r="N107" i="1"/>
  <c r="N102" i="1"/>
  <c r="M104" i="1"/>
  <c r="M103" i="1"/>
  <c r="M110" i="1"/>
  <c r="M136" i="1"/>
  <c r="M75" i="1"/>
  <c r="M140" i="1"/>
  <c r="M77" i="1"/>
  <c r="N18" i="1"/>
  <c r="N17" i="1"/>
  <c r="N69" i="1"/>
  <c r="N16" i="1"/>
  <c r="P10" i="1"/>
  <c r="O11" i="1"/>
  <c r="O12" i="1" s="1"/>
  <c r="O16" i="1" s="1"/>
  <c r="P14" i="1"/>
  <c r="P19" i="1" s="1"/>
  <c r="P13" i="1"/>
  <c r="O32" i="1"/>
  <c r="N33" i="1"/>
  <c r="L65" i="1"/>
  <c r="L106" i="1" s="1"/>
  <c r="O50" i="1"/>
  <c r="O47" i="1"/>
  <c r="O134" i="1" s="1"/>
  <c r="O36" i="1"/>
  <c r="O44" i="1" s="1"/>
  <c r="O48" i="1"/>
  <c r="O35" i="1"/>
  <c r="O49" i="1"/>
  <c r="M34" i="1"/>
  <c r="M57" i="1"/>
  <c r="M42" i="1"/>
  <c r="M43" i="1" s="1"/>
  <c r="L41" i="1"/>
  <c r="L38" i="1"/>
  <c r="L61" i="1" s="1"/>
  <c r="L109" i="1" s="1"/>
  <c r="L40" i="1"/>
  <c r="L63" i="1" s="1"/>
  <c r="L37" i="1"/>
  <c r="L60" i="1" s="1"/>
  <c r="L39" i="1"/>
  <c r="L62" i="1" s="1"/>
  <c r="L55" i="1"/>
  <c r="G8" i="3"/>
  <c r="G11" i="3" s="1"/>
  <c r="G13" i="3" s="1"/>
  <c r="K64" i="1"/>
  <c r="K45" i="1"/>
  <c r="N58" i="1"/>
  <c r="N56" i="1"/>
  <c r="N115" i="1" s="1"/>
  <c r="N68" i="1"/>
  <c r="N74" i="1" s="1"/>
  <c r="N70" i="1"/>
  <c r="N54" i="1"/>
  <c r="N135" i="1"/>
  <c r="N71" i="1"/>
  <c r="O53" i="1"/>
  <c r="P31" i="1"/>
  <c r="Q9" i="1"/>
  <c r="Q29" i="1"/>
  <c r="I4" i="3" l="1"/>
  <c r="M108" i="1"/>
  <c r="M105" i="1"/>
  <c r="L112" i="1"/>
  <c r="L111" i="1"/>
  <c r="N136" i="1"/>
  <c r="N75" i="1"/>
  <c r="N138" i="1"/>
  <c r="N76" i="1"/>
  <c r="O107" i="1"/>
  <c r="O102" i="1"/>
  <c r="N59" i="1"/>
  <c r="N113" i="1"/>
  <c r="N103" i="1"/>
  <c r="N110" i="1"/>
  <c r="N104" i="1"/>
  <c r="N140" i="1"/>
  <c r="N77" i="1"/>
  <c r="O17" i="1"/>
  <c r="O69" i="1"/>
  <c r="O15" i="1"/>
  <c r="O18" i="1"/>
  <c r="Q10" i="1"/>
  <c r="P11" i="1"/>
  <c r="P12" i="1" s="1"/>
  <c r="P15" i="1" s="1"/>
  <c r="Q14" i="1"/>
  <c r="Q19" i="1" s="1"/>
  <c r="Q13" i="1"/>
  <c r="M65" i="1"/>
  <c r="M106" i="1" s="1"/>
  <c r="P32" i="1"/>
  <c r="O33" i="1"/>
  <c r="H8" i="3"/>
  <c r="H11" i="3" s="1"/>
  <c r="H13" i="3" s="1"/>
  <c r="M55" i="1"/>
  <c r="P48" i="1"/>
  <c r="P69" i="1" s="1"/>
  <c r="P47" i="1"/>
  <c r="P49" i="1"/>
  <c r="P36" i="1"/>
  <c r="P44" i="1" s="1"/>
  <c r="P50" i="1"/>
  <c r="P139" i="1" s="1"/>
  <c r="P35" i="1"/>
  <c r="N42" i="1"/>
  <c r="N43" i="1" s="1"/>
  <c r="N34" i="1"/>
  <c r="N57" i="1"/>
  <c r="M40" i="1"/>
  <c r="M63" i="1" s="1"/>
  <c r="M38" i="1"/>
  <c r="M61" i="1" s="1"/>
  <c r="M109" i="1" s="1"/>
  <c r="M41" i="1"/>
  <c r="M39" i="1"/>
  <c r="M62" i="1" s="1"/>
  <c r="M37" i="1"/>
  <c r="M60" i="1" s="1"/>
  <c r="L64" i="1"/>
  <c r="L45" i="1"/>
  <c r="O71" i="1"/>
  <c r="O58" i="1"/>
  <c r="O54" i="1"/>
  <c r="O70" i="1"/>
  <c r="O68" i="1"/>
  <c r="O74" i="1" s="1"/>
  <c r="O139" i="1"/>
  <c r="O135" i="1"/>
  <c r="O56" i="1"/>
  <c r="O115" i="1" s="1"/>
  <c r="P53" i="1"/>
  <c r="O137" i="1"/>
  <c r="Q31" i="1"/>
  <c r="R29" i="1"/>
  <c r="R9" i="1"/>
  <c r="J4" i="3" l="1"/>
  <c r="P136" i="1"/>
  <c r="P75" i="1"/>
  <c r="M111" i="1"/>
  <c r="M112" i="1"/>
  <c r="I8" i="3" s="1"/>
  <c r="I11" i="3" s="1"/>
  <c r="I13" i="3" s="1"/>
  <c r="N105" i="1"/>
  <c r="N108" i="1"/>
  <c r="O59" i="1"/>
  <c r="O113" i="1"/>
  <c r="O140" i="1"/>
  <c r="O77" i="1"/>
  <c r="O138" i="1"/>
  <c r="O76" i="1"/>
  <c r="O136" i="1"/>
  <c r="K4" i="3" s="1"/>
  <c r="O75" i="1"/>
  <c r="O110" i="1"/>
  <c r="O104" i="1"/>
  <c r="O103" i="1"/>
  <c r="P107" i="1"/>
  <c r="P102" i="1"/>
  <c r="P16" i="1"/>
  <c r="P17" i="1"/>
  <c r="P18" i="1"/>
  <c r="R14" i="1"/>
  <c r="R19" i="1" s="1"/>
  <c r="R13" i="1"/>
  <c r="R10" i="1"/>
  <c r="R11" i="1" s="1"/>
  <c r="R12" i="1" s="1"/>
  <c r="Q11" i="1"/>
  <c r="Q12" i="1" s="1"/>
  <c r="Q16" i="1" s="1"/>
  <c r="Q35" i="1"/>
  <c r="Q49" i="1"/>
  <c r="Q137" i="1" s="1"/>
  <c r="Q50" i="1"/>
  <c r="Q47" i="1"/>
  <c r="Q134" i="1" s="1"/>
  <c r="Q36" i="1"/>
  <c r="Q44" i="1" s="1"/>
  <c r="Q48" i="1"/>
  <c r="Q69" i="1" s="1"/>
  <c r="O34" i="1"/>
  <c r="O57" i="1"/>
  <c r="O42" i="1"/>
  <c r="O43" i="1" s="1"/>
  <c r="Q32" i="1"/>
  <c r="P33" i="1"/>
  <c r="M45" i="1"/>
  <c r="M64" i="1"/>
  <c r="N41" i="1"/>
  <c r="N39" i="1"/>
  <c r="N62" i="1" s="1"/>
  <c r="N40" i="1"/>
  <c r="N63" i="1" s="1"/>
  <c r="N37" i="1"/>
  <c r="N60" i="1" s="1"/>
  <c r="N38" i="1"/>
  <c r="N61" i="1" s="1"/>
  <c r="N109" i="1" s="1"/>
  <c r="N65" i="1"/>
  <c r="N106" i="1" s="1"/>
  <c r="N55" i="1"/>
  <c r="P70" i="1"/>
  <c r="P58" i="1"/>
  <c r="P137" i="1"/>
  <c r="P71" i="1"/>
  <c r="P68" i="1"/>
  <c r="P74" i="1" s="1"/>
  <c r="P54" i="1"/>
  <c r="P135" i="1"/>
  <c r="P56" i="1"/>
  <c r="P115" i="1" s="1"/>
  <c r="P134" i="1"/>
  <c r="Q53" i="1"/>
  <c r="R31" i="1"/>
  <c r="P138" i="1" l="1"/>
  <c r="P76" i="1"/>
  <c r="Q136" i="1"/>
  <c r="Q75" i="1"/>
  <c r="O108" i="1"/>
  <c r="O105" i="1"/>
  <c r="P103" i="1"/>
  <c r="P110" i="1"/>
  <c r="P104" i="1"/>
  <c r="P140" i="1"/>
  <c r="P77" i="1"/>
  <c r="Q107" i="1"/>
  <c r="Q102" i="1"/>
  <c r="N112" i="1"/>
  <c r="N111" i="1"/>
  <c r="J8" i="3" s="1"/>
  <c r="J11" i="3" s="1"/>
  <c r="J13" i="3" s="1"/>
  <c r="P59" i="1"/>
  <c r="P113" i="1"/>
  <c r="R50" i="1"/>
  <c r="R49" i="1"/>
  <c r="R137" i="1" s="1"/>
  <c r="R47" i="1"/>
  <c r="R134" i="1" s="1"/>
  <c r="R35" i="1"/>
  <c r="R48" i="1"/>
  <c r="R69" i="1" s="1"/>
  <c r="R36" i="1"/>
  <c r="R44" i="1" s="1"/>
  <c r="O41" i="1"/>
  <c r="O39" i="1"/>
  <c r="O62" i="1" s="1"/>
  <c r="O37" i="1"/>
  <c r="O60" i="1" s="1"/>
  <c r="O40" i="1"/>
  <c r="O63" i="1" s="1"/>
  <c r="O38" i="1"/>
  <c r="O61" i="1" s="1"/>
  <c r="O109" i="1" s="1"/>
  <c r="R32" i="1"/>
  <c r="R33" i="1" s="1"/>
  <c r="R57" i="1" s="1"/>
  <c r="Q33" i="1"/>
  <c r="O65" i="1"/>
  <c r="O106" i="1" s="1"/>
  <c r="S43" i="1"/>
  <c r="P57" i="1"/>
  <c r="P34" i="1"/>
  <c r="P42" i="1"/>
  <c r="P43" i="1" s="1"/>
  <c r="O55" i="1"/>
  <c r="N45" i="1"/>
  <c r="N64" i="1"/>
  <c r="Q58" i="1"/>
  <c r="Q68" i="1"/>
  <c r="Q74" i="1" s="1"/>
  <c r="Q71" i="1"/>
  <c r="Q56" i="1"/>
  <c r="Q115" i="1" s="1"/>
  <c r="L4" i="3"/>
  <c r="R53" i="1"/>
  <c r="Q18" i="1"/>
  <c r="Q70" i="1"/>
  <c r="Q15" i="1"/>
  <c r="Q135" i="1"/>
  <c r="Q139" i="1"/>
  <c r="Q17" i="1"/>
  <c r="Q54" i="1"/>
  <c r="R18" i="1"/>
  <c r="R15" i="1"/>
  <c r="R16" i="1"/>
  <c r="R17" i="1"/>
  <c r="Q138" i="1" l="1"/>
  <c r="Q76" i="1"/>
  <c r="S69" i="1"/>
  <c r="T69" i="1" s="1"/>
  <c r="R75" i="1"/>
  <c r="R102" i="1"/>
  <c r="R107" i="1"/>
  <c r="O112" i="1"/>
  <c r="O111" i="1"/>
  <c r="Q59" i="1"/>
  <c r="Q113" i="1"/>
  <c r="Q103" i="1"/>
  <c r="Q110" i="1"/>
  <c r="Q104" i="1"/>
  <c r="R105" i="1"/>
  <c r="R108" i="1"/>
  <c r="Q140" i="1"/>
  <c r="M4" i="3" s="1"/>
  <c r="Q77" i="1"/>
  <c r="R34" i="1"/>
  <c r="R41" i="1" s="1"/>
  <c r="R64" i="1" s="1"/>
  <c r="P105" i="1"/>
  <c r="P108" i="1"/>
  <c r="O45" i="1"/>
  <c r="O64" i="1"/>
  <c r="P55" i="1"/>
  <c r="P40" i="1"/>
  <c r="P63" i="1" s="1"/>
  <c r="P37" i="1"/>
  <c r="P60" i="1" s="1"/>
  <c r="P41" i="1"/>
  <c r="P38" i="1"/>
  <c r="P61" i="1" s="1"/>
  <c r="P109" i="1" s="1"/>
  <c r="P39" i="1"/>
  <c r="P62" i="1" s="1"/>
  <c r="S65" i="1"/>
  <c r="S45" i="1"/>
  <c r="Q34" i="1"/>
  <c r="Q57" i="1"/>
  <c r="Q42" i="1"/>
  <c r="Q43" i="1" s="1"/>
  <c r="P65" i="1"/>
  <c r="P106" i="1" s="1"/>
  <c r="T43" i="1"/>
  <c r="R42" i="1"/>
  <c r="R43" i="1" s="1"/>
  <c r="R58" i="1"/>
  <c r="R45" i="1"/>
  <c r="R71" i="1"/>
  <c r="R68" i="1"/>
  <c r="R54" i="1"/>
  <c r="R56" i="1"/>
  <c r="R115" i="1" s="1"/>
  <c r="R135" i="1"/>
  <c r="R139" i="1"/>
  <c r="R70" i="1"/>
  <c r="R40" i="1"/>
  <c r="R63" i="1" s="1"/>
  <c r="R37" i="1"/>
  <c r="R60" i="1" s="1"/>
  <c r="R38" i="1"/>
  <c r="R61" i="1" s="1"/>
  <c r="R109" i="1" s="1"/>
  <c r="R136" i="1"/>
  <c r="K8" i="3" l="1"/>
  <c r="K11" i="3" s="1"/>
  <c r="K13" i="3" s="1"/>
  <c r="R39" i="1"/>
  <c r="R62" i="1" s="1"/>
  <c r="R111" i="1"/>
  <c r="R112" i="1"/>
  <c r="S70" i="1"/>
  <c r="T70" i="1" s="1"/>
  <c r="T138" i="1" s="1"/>
  <c r="R76" i="1"/>
  <c r="R59" i="1"/>
  <c r="S59" i="1" s="1"/>
  <c r="T59" i="1" s="1"/>
  <c r="R113" i="1"/>
  <c r="P112" i="1"/>
  <c r="P111" i="1"/>
  <c r="Q105" i="1"/>
  <c r="Q108" i="1"/>
  <c r="R104" i="1"/>
  <c r="R103" i="1"/>
  <c r="R110" i="1"/>
  <c r="S68" i="1"/>
  <c r="T68" i="1" s="1"/>
  <c r="R74" i="1"/>
  <c r="R140" i="1"/>
  <c r="R77" i="1"/>
  <c r="Q65" i="1"/>
  <c r="Q106" i="1" s="1"/>
  <c r="P45" i="1"/>
  <c r="P64" i="1"/>
  <c r="Q55" i="1"/>
  <c r="Q41" i="1"/>
  <c r="Q40" i="1"/>
  <c r="Q63" i="1" s="1"/>
  <c r="Q38" i="1"/>
  <c r="Q61" i="1" s="1"/>
  <c r="Q109" i="1" s="1"/>
  <c r="Q37" i="1"/>
  <c r="Q60" i="1" s="1"/>
  <c r="Q39" i="1"/>
  <c r="Q62" i="1" s="1"/>
  <c r="R65" i="1"/>
  <c r="R106" i="1" s="1"/>
  <c r="T45" i="1"/>
  <c r="T65" i="1"/>
  <c r="S71" i="1"/>
  <c r="T71" i="1" s="1"/>
  <c r="R138" i="1"/>
  <c r="N4" i="3" l="1"/>
  <c r="L8" i="3"/>
  <c r="L11" i="3" s="1"/>
  <c r="L13" i="3" s="1"/>
  <c r="Q111" i="1"/>
  <c r="M8" i="3" s="1"/>
  <c r="M11" i="3" s="1"/>
  <c r="M13" i="3" s="1"/>
  <c r="Q112" i="1"/>
  <c r="S138" i="1"/>
  <c r="Q64" i="1"/>
  <c r="Q45" i="1"/>
  <c r="R55" i="1"/>
  <c r="N8" i="3"/>
  <c r="N11" i="3" s="1"/>
  <c r="N13" i="3" l="1"/>
  <c r="C26" i="1"/>
  <c r="C25" i="1"/>
  <c r="B69" i="2"/>
  <c r="D68" i="2"/>
  <c r="E68" i="2"/>
  <c r="F68" i="2"/>
  <c r="G68" i="2"/>
  <c r="H68" i="2"/>
  <c r="I68" i="2"/>
  <c r="I70" i="2" s="1"/>
  <c r="J68" i="2"/>
  <c r="K68" i="2"/>
  <c r="L68" i="2"/>
  <c r="M68" i="2"/>
  <c r="C68" i="2"/>
  <c r="C70" i="2" s="1"/>
  <c r="D65" i="2"/>
  <c r="E65" i="2"/>
  <c r="F65" i="2"/>
  <c r="G65" i="2"/>
  <c r="H65" i="2"/>
  <c r="I65" i="2"/>
  <c r="J65" i="2"/>
  <c r="K65" i="2"/>
  <c r="L65" i="2"/>
  <c r="M65" i="2"/>
  <c r="C65" i="2"/>
  <c r="H70" i="2"/>
  <c r="G70" i="2"/>
  <c r="F70" i="2"/>
  <c r="E70" i="2"/>
  <c r="D70" i="2"/>
  <c r="B23" i="1"/>
  <c r="C4" i="1"/>
  <c r="C5" i="1" s="1"/>
  <c r="B62" i="2"/>
  <c r="B63" i="2" s="1"/>
  <c r="C23" i="1" s="1"/>
  <c r="G23" i="1" s="1"/>
  <c r="H23" i="1" s="1"/>
  <c r="H24" i="1" s="1"/>
  <c r="G25" i="1" l="1"/>
  <c r="G26" i="1" s="1"/>
  <c r="G27" i="1" s="1"/>
  <c r="G28" i="1" s="1"/>
  <c r="G24" i="1"/>
  <c r="H25" i="1"/>
  <c r="H26" i="1" s="1"/>
  <c r="H27" i="1" s="1"/>
  <c r="H28" i="1" s="1"/>
  <c r="G5" i="1"/>
  <c r="G6" i="1" s="1"/>
  <c r="G7" i="1" s="1"/>
  <c r="G8" i="1" s="1"/>
  <c r="I23" i="1"/>
  <c r="I24" i="1" s="1"/>
  <c r="I25" i="1" l="1"/>
  <c r="I26" i="1" s="1"/>
  <c r="I27" i="1" s="1"/>
  <c r="I28" i="1" s="1"/>
  <c r="H5" i="1"/>
  <c r="I5" i="1" s="1"/>
  <c r="J23" i="1"/>
  <c r="H6" i="1" l="1"/>
  <c r="H7" i="1" s="1"/>
  <c r="H8" i="1" s="1"/>
  <c r="J24" i="1"/>
  <c r="J25" i="1"/>
  <c r="J26" i="1" s="1"/>
  <c r="J27" i="1" s="1"/>
  <c r="J28" i="1" s="1"/>
  <c r="K23" i="1"/>
  <c r="J5" i="1"/>
  <c r="I6" i="1"/>
  <c r="I7" i="1" s="1"/>
  <c r="I8" i="1" s="1"/>
  <c r="K24" i="1" l="1"/>
  <c r="K25" i="1"/>
  <c r="K26" i="1" s="1"/>
  <c r="K27" i="1" s="1"/>
  <c r="K28" i="1" s="1"/>
  <c r="L23" i="1"/>
  <c r="K5" i="1"/>
  <c r="J6" i="1"/>
  <c r="J7" i="1" s="1"/>
  <c r="J8" i="1" s="1"/>
  <c r="L24" i="1" l="1"/>
  <c r="L25" i="1"/>
  <c r="L26" i="1" s="1"/>
  <c r="L27" i="1" s="1"/>
  <c r="L28" i="1" s="1"/>
  <c r="M23" i="1"/>
  <c r="L5" i="1"/>
  <c r="K6" i="1"/>
  <c r="K7" i="1" s="1"/>
  <c r="K8" i="1" s="1"/>
  <c r="M24" i="1" l="1"/>
  <c r="M25" i="1"/>
  <c r="M26" i="1" s="1"/>
  <c r="M27" i="1" s="1"/>
  <c r="M28" i="1" s="1"/>
  <c r="N23" i="1"/>
  <c r="M5" i="1"/>
  <c r="L6" i="1"/>
  <c r="L7" i="1" s="1"/>
  <c r="L8" i="1" s="1"/>
  <c r="N24" i="1" l="1"/>
  <c r="N25" i="1"/>
  <c r="N26" i="1" s="1"/>
  <c r="N27" i="1" s="1"/>
  <c r="N28" i="1" s="1"/>
  <c r="O23" i="1"/>
  <c r="M6" i="1"/>
  <c r="M7" i="1" s="1"/>
  <c r="M8" i="1" s="1"/>
  <c r="N5" i="1"/>
  <c r="O24" i="1" l="1"/>
  <c r="O25" i="1"/>
  <c r="O26" i="1" s="1"/>
  <c r="O27" i="1" s="1"/>
  <c r="O28" i="1" s="1"/>
  <c r="P23" i="1"/>
  <c r="O5" i="1"/>
  <c r="N6" i="1"/>
  <c r="N7" i="1" s="1"/>
  <c r="N8" i="1" s="1"/>
  <c r="P24" i="1" l="1"/>
  <c r="P25" i="1"/>
  <c r="P26" i="1" s="1"/>
  <c r="P27" i="1" s="1"/>
  <c r="P28" i="1" s="1"/>
  <c r="Q23" i="1"/>
  <c r="P5" i="1"/>
  <c r="O6" i="1"/>
  <c r="O7" i="1" s="1"/>
  <c r="O8" i="1" s="1"/>
  <c r="Q24" i="1" l="1"/>
  <c r="Q25" i="1"/>
  <c r="Q26" i="1" s="1"/>
  <c r="Q27" i="1" s="1"/>
  <c r="Q28" i="1" s="1"/>
  <c r="R23" i="1"/>
  <c r="Q5" i="1"/>
  <c r="P6" i="1"/>
  <c r="P7" i="1" s="1"/>
  <c r="P8" i="1" s="1"/>
  <c r="R24" i="1" l="1"/>
  <c r="R25" i="1"/>
  <c r="R26" i="1" s="1"/>
  <c r="R27" i="1" s="1"/>
  <c r="R28" i="1" s="1"/>
  <c r="R5" i="1"/>
  <c r="R6" i="1" s="1"/>
  <c r="R7" i="1" s="1"/>
  <c r="R8" i="1" s="1"/>
  <c r="Q6" i="1"/>
  <c r="Q7" i="1" s="1"/>
  <c r="Q8" i="1" s="1"/>
</calcChain>
</file>

<file path=xl/sharedStrings.xml><?xml version="1.0" encoding="utf-8"?>
<sst xmlns="http://schemas.openxmlformats.org/spreadsheetml/2006/main" count="448" uniqueCount="269">
  <si>
    <t>Year 2</t>
  </si>
  <si>
    <t>Year 3</t>
  </si>
  <si>
    <t>Year 4</t>
  </si>
  <si>
    <t>Year 5</t>
  </si>
  <si>
    <t>Forecast Basis</t>
  </si>
  <si>
    <t>Static assumptions</t>
  </si>
  <si>
    <t>First 6 months</t>
  </si>
  <si>
    <t>Second 6 months</t>
  </si>
  <si>
    <t>Population</t>
  </si>
  <si>
    <t>Macro assumptions</t>
  </si>
  <si>
    <t>https://data.london.gov.uk/dataset/trend-based-population-projections</t>
  </si>
  <si>
    <t>Total</t>
  </si>
  <si>
    <t>Year 2025</t>
  </si>
  <si>
    <t>Year 2024</t>
  </si>
  <si>
    <t>Variable calcultation</t>
  </si>
  <si>
    <t>Year 2002</t>
  </si>
  <si>
    <t>Year 2050</t>
  </si>
  <si>
    <t>Ending Pop</t>
  </si>
  <si>
    <t>Need to deep dive</t>
  </si>
  <si>
    <t>Target Demographics (18-40)</t>
  </si>
  <si>
    <t>Target demogrpahics make on avg 30% of total pop (avg taken of 48 years 2002-2050)</t>
  </si>
  <si>
    <t>Tech-Savy Users</t>
  </si>
  <si>
    <t>60% of target demographic is comfortable using fintech apps</t>
  </si>
  <si>
    <t>80% of the tech savy users have a bank account</t>
  </si>
  <si>
    <t>Bank Account holders</t>
  </si>
  <si>
    <t>Annual Growth rate - average taken of 48 yrs 2002-2050</t>
  </si>
  <si>
    <t>Monthly Growth rate</t>
  </si>
  <si>
    <t>Sales</t>
  </si>
  <si>
    <t>Sales Margin</t>
  </si>
  <si>
    <t>https://www.ons.gov.uk/businessindustryandtrade/business/activitysizeandlocation/adhocs/1136smebyregionandindustry</t>
  </si>
  <si>
    <t>This worksheet contains one table</t>
  </si>
  <si>
    <t>Units: Counts (control rounded to base 5)</t>
  </si>
  <si>
    <t>1 - Company (incl. Building Society)</t>
  </si>
  <si>
    <t>2 - Sole Proprietor</t>
  </si>
  <si>
    <t>3 - Partnership</t>
  </si>
  <si>
    <t>4 - Public Corporation/Nationalised Body</t>
  </si>
  <si>
    <t>5 - Central Government</t>
  </si>
  <si>
    <t>6 - Local Authority</t>
  </si>
  <si>
    <t>7 - Non-profit Body or Mutual Association</t>
  </si>
  <si>
    <t>50-99</t>
  </si>
  <si>
    <t>100-249</t>
  </si>
  <si>
    <t>01-03 : Agriculture, forestry &amp; fishing</t>
  </si>
  <si>
    <t>05-39 : Production</t>
  </si>
  <si>
    <t>41-43 : Construction</t>
  </si>
  <si>
    <t>45 : Motor trades</t>
  </si>
  <si>
    <t>46 : Wholesale</t>
  </si>
  <si>
    <t>47 : Retail</t>
  </si>
  <si>
    <t>49-53 : Transport &amp; Storage (inc. postal)</t>
  </si>
  <si>
    <t>55-56 : Accommodation &amp; food services</t>
  </si>
  <si>
    <t>58-63 : Information &amp; communication</t>
  </si>
  <si>
    <t>64-66 : Finance &amp; insurance</t>
  </si>
  <si>
    <t>68 : Property</t>
  </si>
  <si>
    <t>69-75 : Professional, scientific &amp; technical</t>
  </si>
  <si>
    <t>77-82 : Business administration &amp; support services</t>
  </si>
  <si>
    <t>84 : Public administration &amp; defence</t>
  </si>
  <si>
    <t>85 : Education</t>
  </si>
  <si>
    <t>86-88 : Health</t>
  </si>
  <si>
    <t>90-99 : Arts, entertainment, recreation &amp; other services</t>
  </si>
  <si>
    <t xml:space="preserve">Table 28 - Number of VAT and/or PAYE based enterprises by broad industry group [note 1] [note 2] [note 3] [note 6] [note 7]  </t>
  </si>
  <si>
    <t>Years</t>
  </si>
  <si>
    <t>2021</t>
  </si>
  <si>
    <t>2022</t>
  </si>
  <si>
    <t>2023</t>
  </si>
  <si>
    <t>2024</t>
  </si>
  <si>
    <t>Agriculture, forestry &amp; fishing</t>
  </si>
  <si>
    <t>Production</t>
  </si>
  <si>
    <t/>
  </si>
  <si>
    <t>Mining, quarrying &amp; utilities</t>
  </si>
  <si>
    <t>Manufacturing</t>
  </si>
  <si>
    <t>Construction</t>
  </si>
  <si>
    <t>Motor Trade, Wholesale and Retail</t>
  </si>
  <si>
    <t>Motor trades</t>
  </si>
  <si>
    <t>Wholesale</t>
  </si>
  <si>
    <t>Retail</t>
  </si>
  <si>
    <t>Transport &amp; storage (inc. postal)</t>
  </si>
  <si>
    <t>Accommodation &amp; food services</t>
  </si>
  <si>
    <t>Information &amp; communication</t>
  </si>
  <si>
    <t>Finance &amp; insurance</t>
  </si>
  <si>
    <t>Property</t>
  </si>
  <si>
    <t>Professional, scientific &amp; technical</t>
  </si>
  <si>
    <t>Business administration and support services</t>
  </si>
  <si>
    <t>Public administration and defence; compulsory social security</t>
  </si>
  <si>
    <t>Education</t>
  </si>
  <si>
    <t>Health</t>
  </si>
  <si>
    <t>Arts, entertainment, recreation and other services</t>
  </si>
  <si>
    <t>Percentage change</t>
  </si>
  <si>
    <t>+3.3%</t>
  </si>
  <si>
    <t>+0.9%</t>
  </si>
  <si>
    <t>+4.4%</t>
  </si>
  <si>
    <t>+8.2%</t>
  </si>
  <si>
    <t>+4.3%</t>
  </si>
  <si>
    <t>+4.5%</t>
  </si>
  <si>
    <t>+1.8%</t>
  </si>
  <si>
    <t>+1.2%</t>
  </si>
  <si>
    <t>+0.6%</t>
  </si>
  <si>
    <t>AGR</t>
  </si>
  <si>
    <t>Individuals</t>
  </si>
  <si>
    <t>Businesses</t>
  </si>
  <si>
    <t>Total Employee count contribution</t>
  </si>
  <si>
    <t>SMEs based on legal status</t>
  </si>
  <si>
    <t xml:space="preserve">Sole proprietor, partnerships &amp; Non profit body </t>
  </si>
  <si>
    <t xml:space="preserve">SMEs  </t>
  </si>
  <si>
    <t>Relevant legal status</t>
  </si>
  <si>
    <t>0-49</t>
  </si>
  <si>
    <t>250-499</t>
  </si>
  <si>
    <t>500-999</t>
  </si>
  <si>
    <t>1000-1999</t>
  </si>
  <si>
    <t>2000-4999</t>
  </si>
  <si>
    <t>5000-9999</t>
  </si>
  <si>
    <t>10000-49999</t>
  </si>
  <si>
    <t>50000+</t>
  </si>
  <si>
    <t>employee count&gt;250</t>
  </si>
  <si>
    <t xml:space="preserve">Table 13 - Number of VAT and/or PAYE based enterprises by legal status, broad industry group and turnover sizebands (£000's) [note 1] [note 2] [note 3] [note 4 ] [note 6] [note 7]  </t>
  </si>
  <si>
    <t>% relevant legal status</t>
  </si>
  <si>
    <t>% of legel status compared to total pop</t>
  </si>
  <si>
    <t>Enterprises based on legal status</t>
  </si>
  <si>
    <t>% tech savy businesses</t>
  </si>
  <si>
    <t>% businesses requiring EMI services</t>
  </si>
  <si>
    <t>Costing</t>
  </si>
  <si>
    <t>Setup Costs</t>
  </si>
  <si>
    <t>Compliance Setup</t>
  </si>
  <si>
    <t>Accounts Setup</t>
  </si>
  <si>
    <t xml:space="preserve">Card Pricing - Dedicated BINs </t>
  </si>
  <si>
    <t>BIN Purchase x 4</t>
  </si>
  <si>
    <t>IF Card Setup Costs</t>
  </si>
  <si>
    <t xml:space="preserve">BIN Setup Costs x 4 </t>
  </si>
  <si>
    <t>BIN Setup Costs x 4 (Manufacturer)</t>
  </si>
  <si>
    <t>Fixed Monthly Costs</t>
  </si>
  <si>
    <t xml:space="preserve">Compliance </t>
  </si>
  <si>
    <t xml:space="preserve">Accounts Platform </t>
  </si>
  <si>
    <t>Cards Processing Platform</t>
  </si>
  <si>
    <t>Tokenised Push Provisioning</t>
  </si>
  <si>
    <t xml:space="preserve">ASPSP Open-API Support </t>
  </si>
  <si>
    <t xml:space="preserve">IF BIN Management </t>
  </si>
  <si>
    <t>Scheme Costs</t>
  </si>
  <si>
    <t>Passed through</t>
  </si>
  <si>
    <t>Total Monthly Fixed</t>
  </si>
  <si>
    <t>Account Creation (CB via TPL)</t>
  </si>
  <si>
    <t>Account Maintenance (CB via TPL)</t>
  </si>
  <si>
    <t>FasterPayments (CB via TPL)</t>
  </si>
  <si>
    <t>SEPA payments i/o</t>
  </si>
  <si>
    <t>CHAPS i/o</t>
  </si>
  <si>
    <t xml:space="preserve">Card Activation </t>
  </si>
  <si>
    <t>Card Residency</t>
  </si>
  <si>
    <t xml:space="preserve">Tokenised Authorisation </t>
  </si>
  <si>
    <t>3DS Enrollment</t>
  </si>
  <si>
    <t xml:space="preserve">3DS Authorisation </t>
  </si>
  <si>
    <t>Card Transaction Authorisation (per txn)</t>
  </si>
  <si>
    <t xml:space="preserve">Push Provisioning Variable </t>
  </si>
  <si>
    <t>Vaiable Costs</t>
  </si>
  <si>
    <t>Physical Costs</t>
  </si>
  <si>
    <t>5000 cards</t>
  </si>
  <si>
    <t>10000 cards</t>
  </si>
  <si>
    <t>25000 cards</t>
  </si>
  <si>
    <t>50000 cards</t>
  </si>
  <si>
    <t>Cutomers mix</t>
  </si>
  <si>
    <t>Individuals target in first year</t>
  </si>
  <si>
    <t>40500- expected by the sales teams of USI</t>
  </si>
  <si>
    <t>Monthly growth rate to reach 40500 individuals by the end of first year</t>
  </si>
  <si>
    <t>Monthly growth rate to reach 4500 businesses by the end of first year</t>
  </si>
  <si>
    <t>New customers onboarded each month</t>
  </si>
  <si>
    <t>combining individuals and businesses both</t>
  </si>
  <si>
    <t>per active card p/m</t>
  </si>
  <si>
    <t>per transaction</t>
  </si>
  <si>
    <t>per card p/m</t>
  </si>
  <si>
    <t>per push</t>
  </si>
  <si>
    <t>No of transactions</t>
  </si>
  <si>
    <t>Total Cumulative Customers each month</t>
  </si>
  <si>
    <t>based on no of customers onboarded p/m</t>
  </si>
  <si>
    <t>Charged to the customer directly</t>
  </si>
  <si>
    <t>No of Physical Cards requested</t>
  </si>
  <si>
    <t>assuming 20% go for physical cards</t>
  </si>
  <si>
    <t>Sale Price</t>
  </si>
  <si>
    <t>Revenue</t>
  </si>
  <si>
    <t>self decided</t>
  </si>
  <si>
    <t>Physical cards ordered</t>
  </si>
  <si>
    <t>Starter plan</t>
  </si>
  <si>
    <t>Growth Plan</t>
  </si>
  <si>
    <t>Pro Plan</t>
  </si>
  <si>
    <t>Enterprises plan</t>
  </si>
  <si>
    <t xml:space="preserve">Starter plan </t>
  </si>
  <si>
    <t>no of businesses onboarded as per different plans offered</t>
  </si>
  <si>
    <t>Market Competitive</t>
  </si>
  <si>
    <t>Physical card cost</t>
  </si>
  <si>
    <t>Only Physical card cost</t>
  </si>
  <si>
    <t>15£ / monthly fee</t>
  </si>
  <si>
    <t>75£ / monthly fee</t>
  </si>
  <si>
    <t>125£ / monthly fee</t>
  </si>
  <si>
    <t>Customised but assuming at 125£</t>
  </si>
  <si>
    <t>Setup cost amortise over 12 months</t>
  </si>
  <si>
    <t>Total set up cost</t>
  </si>
  <si>
    <t>Title</t>
  </si>
  <si>
    <t>Expenses</t>
  </si>
  <si>
    <t>Fixed Costs</t>
  </si>
  <si>
    <t>Variable Costs</t>
  </si>
  <si>
    <t>Set up costs</t>
  </si>
  <si>
    <t>Profit/(loss)</t>
  </si>
  <si>
    <t>Total cost</t>
  </si>
  <si>
    <t>incorporate 500 more take the number to 5k</t>
  </si>
  <si>
    <t>free plan</t>
  </si>
  <si>
    <t>might incorporate payment plans</t>
  </si>
  <si>
    <t>limit atm withdrawal- upto two free</t>
  </si>
  <si>
    <t>Visa Project charges (est)</t>
  </si>
  <si>
    <t>based on active rate</t>
  </si>
  <si>
    <t>mainly for businesses - 5-10% for businesses</t>
  </si>
  <si>
    <t>will have to incorporate the active rate</t>
  </si>
  <si>
    <t>card monthly miantainenance that’s valid</t>
  </si>
  <si>
    <t>using google/apple pay- factor in this</t>
  </si>
  <si>
    <t>online transaction -otp- 3ds protocol- factor this in</t>
  </si>
  <si>
    <t>(fx, online, internal transfer- everything)</t>
  </si>
  <si>
    <t>both- maintenance</t>
  </si>
  <si>
    <t>assuming 60% of the users use apple pay- factor in as such</t>
  </si>
  <si>
    <t>doesn’t include personalisation &amp; fulfilment (postage)</t>
  </si>
  <si>
    <t xml:space="preserve">charges on atm withdrawal/fx </t>
  </si>
  <si>
    <t>No of transactions via ATM withdrawals</t>
  </si>
  <si>
    <t>No of transactions via push pay</t>
  </si>
  <si>
    <t>Assuming individual makes 5 transactions per month</t>
  </si>
  <si>
    <t>20% of total transaction pertains to this</t>
  </si>
  <si>
    <t xml:space="preserve">No of transactions using FX </t>
  </si>
  <si>
    <t>40% of total transaction per tains to this</t>
  </si>
  <si>
    <t xml:space="preserve">No of times user checks their card info </t>
  </si>
  <si>
    <t>No of active cards</t>
  </si>
  <si>
    <t>assuming active rate of 65%</t>
  </si>
  <si>
    <t>No of OTP/SDS transactions</t>
  </si>
  <si>
    <t>No of cards push thru</t>
  </si>
  <si>
    <t>assuming 80% will go for google/apple pay</t>
  </si>
  <si>
    <t>assuming we charge 1% of amount withdrawn</t>
  </si>
  <si>
    <t>anyone using E-pay to make payment</t>
  </si>
  <si>
    <t>any foreign currency transaction made</t>
  </si>
  <si>
    <t>any online payment made via OTP</t>
  </si>
  <si>
    <t>copying card details</t>
  </si>
  <si>
    <t>cards active p/m</t>
  </si>
  <si>
    <t>New Businesses target in first year</t>
  </si>
  <si>
    <t xml:space="preserve">4500-expected by the sales team of USI </t>
  </si>
  <si>
    <t>Current customer base added</t>
  </si>
  <si>
    <t>Total customers expected</t>
  </si>
  <si>
    <t>USI's current customer base added</t>
  </si>
  <si>
    <t>Assuming businesses makes 10 transactions per month</t>
  </si>
  <si>
    <t>Individuals using electronic pay(Google/apple pay)</t>
  </si>
  <si>
    <t>Individuals using physical cards to make payments</t>
  </si>
  <si>
    <t>Using electronic pay(Google/apple pay)</t>
  </si>
  <si>
    <t>requesting 3 cards/business</t>
  </si>
  <si>
    <t>Chaps i/o</t>
  </si>
  <si>
    <t>15% of businesses making high value payments</t>
  </si>
  <si>
    <t>Total Active customers</t>
  </si>
  <si>
    <t>20% of total transaction per tains to this</t>
  </si>
  <si>
    <t>No of other transactions (Chaps + others)</t>
  </si>
  <si>
    <t>any other type of transaction</t>
  </si>
  <si>
    <t>No of Chaps transaction</t>
  </si>
  <si>
    <t>businesses make 2 transaction</t>
  </si>
  <si>
    <t>No of other transactions (excluding Chaps)</t>
  </si>
  <si>
    <t>any others type of transaction not accounted for</t>
  </si>
  <si>
    <t>removing double expense counting error</t>
  </si>
  <si>
    <t>based on no of Chaps transactions</t>
  </si>
  <si>
    <t>No of Chaps Transaction</t>
  </si>
  <si>
    <t>Total cumulative cards push thru</t>
  </si>
  <si>
    <t>Total  transactions each month</t>
  </si>
  <si>
    <t>Total Cumulative customers p/m</t>
  </si>
  <si>
    <t xml:space="preserve">assuming 80% of new business customers go for physical cards </t>
  </si>
  <si>
    <t>assuming 20% of new business customers gor for electronic cards</t>
  </si>
  <si>
    <t>assuming 6 times a month</t>
  </si>
  <si>
    <t>Total Cumulative Individuals p/m</t>
  </si>
  <si>
    <t>Total physical cards requested p/m</t>
  </si>
  <si>
    <t>based on total onboarded p/m</t>
  </si>
  <si>
    <t>Total Cumulative active business customers p/m</t>
  </si>
  <si>
    <t>Total Cumulative business customers p/m</t>
  </si>
  <si>
    <t>based on no of customers  p/m</t>
  </si>
  <si>
    <t>ATM Withdrawal Fees</t>
  </si>
  <si>
    <t>assuming avg of 1.5£ on ATM withdrawals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</si>
</sst>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000"/>
    <numFmt numFmtId="167" formatCode="&quot;£&quot;#,##0.00"/>
    <numFmt numFmtId="168" formatCode="&quot;£&quot;#,##0"/>
  </numFmts>
  <fonts count="1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u/>
      <sz val="20"/>
      <color theme="1"/>
      <name val="Aptos Narrow"/>
      <scheme val="minor"/>
    </font>
    <font>
      <sz val="12"/>
      <color rgb="FF002060"/>
      <name val="Aptos Narrow"/>
      <family val="2"/>
      <scheme val="minor"/>
    </font>
    <font>
      <sz val="12"/>
      <color rgb="FF7030A0"/>
      <name val="Aptos Narrow"/>
      <family val="2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sz val="14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14999847407452621"/>
      </right>
      <top style="thin">
        <color indexed="64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theme="0" tint="-0.249977111117893"/>
      </top>
      <bottom style="thin">
        <color indexed="64"/>
      </bottom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14999847407452621"/>
      </right>
      <top style="thin">
        <color indexed="64"/>
      </top>
      <bottom/>
      <diagonal/>
    </border>
    <border>
      <left/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/>
      <bottom style="thin">
        <color theme="0" tint="-0.24997711111789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7" fillId="0" borderId="0">
      <alignment vertical="top"/>
      <protection locked="0"/>
    </xf>
    <xf numFmtId="0" fontId="7" fillId="0" borderId="0">
      <alignment vertical="top"/>
      <protection locked="0"/>
    </xf>
  </cellStyleXfs>
  <cellXfs count="132">
    <xf numFmtId="0" fontId="0" fillId="0" borderId="0" xfId="0"/>
    <xf numFmtId="9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43" fontId="0" fillId="0" borderId="0" xfId="0" applyNumberFormat="1"/>
    <xf numFmtId="0" fontId="0" fillId="2" borderId="0" xfId="0" applyFill="1"/>
    <xf numFmtId="0" fontId="3" fillId="0" borderId="0" xfId="0" applyFont="1"/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8" fillId="0" borderId="0" xfId="4" applyFont="1" applyAlignment="1">
      <alignment vertical="center"/>
      <protection locked="0"/>
    </xf>
    <xf numFmtId="0" fontId="6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3" fontId="6" fillId="3" borderId="6" xfId="0" applyNumberFormat="1" applyFont="1" applyFill="1" applyBorder="1" applyAlignment="1">
      <alignment horizontal="right"/>
    </xf>
    <xf numFmtId="3" fontId="5" fillId="3" borderId="6" xfId="0" applyNumberFormat="1" applyFont="1" applyFill="1" applyBorder="1" applyAlignment="1">
      <alignment horizontal="right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/>
    </xf>
    <xf numFmtId="0" fontId="5" fillId="0" borderId="7" xfId="0" applyFont="1" applyBorder="1" applyAlignment="1">
      <alignment vertical="center"/>
    </xf>
    <xf numFmtId="0" fontId="6" fillId="0" borderId="8" xfId="0" applyFont="1" applyBorder="1"/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6" fillId="0" borderId="11" xfId="0" applyFont="1" applyBorder="1"/>
    <xf numFmtId="0" fontId="8" fillId="0" borderId="8" xfId="4" applyFont="1" applyBorder="1">
      <alignment vertical="top"/>
      <protection locked="0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6" fillId="0" borderId="15" xfId="0" applyFont="1" applyBorder="1"/>
    <xf numFmtId="0" fontId="8" fillId="0" borderId="15" xfId="4" applyFont="1" applyBorder="1">
      <alignment vertical="top"/>
      <protection locked="0"/>
    </xf>
    <xf numFmtId="49" fontId="9" fillId="0" borderId="18" xfId="0" applyNumberFormat="1" applyFont="1" applyBorder="1" applyAlignment="1">
      <alignment horizontal="center" vertical="center" wrapText="1"/>
    </xf>
    <xf numFmtId="49" fontId="9" fillId="0" borderId="19" xfId="0" applyNumberFormat="1" applyFont="1" applyBorder="1" applyAlignment="1">
      <alignment horizontal="center" vertical="center" wrapText="1"/>
    </xf>
    <xf numFmtId="49" fontId="9" fillId="0" borderId="20" xfId="0" applyNumberFormat="1" applyFont="1" applyBorder="1" applyAlignment="1">
      <alignment horizontal="center" vertical="center" wrapText="1"/>
    </xf>
    <xf numFmtId="49" fontId="9" fillId="0" borderId="21" xfId="0" applyNumberFormat="1" applyFont="1" applyBorder="1" applyAlignment="1">
      <alignment horizontal="center" vertical="center" wrapText="1"/>
    </xf>
    <xf numFmtId="49" fontId="9" fillId="0" borderId="22" xfId="0" applyNumberFormat="1" applyFont="1" applyBorder="1" applyAlignment="1">
      <alignment horizontal="center" vertical="center" wrapText="1"/>
    </xf>
    <xf numFmtId="49" fontId="9" fillId="0" borderId="23" xfId="0" applyNumberFormat="1" applyFont="1" applyBorder="1" applyAlignment="1">
      <alignment horizontal="center" vertical="center" wrapText="1"/>
    </xf>
    <xf numFmtId="49" fontId="5" fillId="0" borderId="23" xfId="0" applyNumberFormat="1" applyFont="1" applyBorder="1" applyAlignment="1">
      <alignment horizontal="center" vertical="center" wrapText="1"/>
    </xf>
    <xf numFmtId="49" fontId="10" fillId="0" borderId="16" xfId="0" applyNumberFormat="1" applyFont="1" applyBorder="1" applyAlignment="1">
      <alignment horizontal="left" vertical="top" wrapText="1"/>
    </xf>
    <xf numFmtId="3" fontId="6" fillId="3" borderId="24" xfId="0" applyNumberFormat="1" applyFont="1" applyFill="1" applyBorder="1" applyAlignment="1">
      <alignment horizontal="right"/>
    </xf>
    <xf numFmtId="3" fontId="6" fillId="3" borderId="9" xfId="0" applyNumberFormat="1" applyFont="1" applyFill="1" applyBorder="1" applyAlignment="1">
      <alignment horizontal="right"/>
    </xf>
    <xf numFmtId="3" fontId="6" fillId="3" borderId="25" xfId="0" applyNumberFormat="1" applyFont="1" applyFill="1" applyBorder="1" applyAlignment="1">
      <alignment horizontal="right"/>
    </xf>
    <xf numFmtId="3" fontId="6" fillId="3" borderId="26" xfId="0" applyNumberFormat="1" applyFont="1" applyFill="1" applyBorder="1" applyAlignment="1">
      <alignment horizontal="right"/>
    </xf>
    <xf numFmtId="3" fontId="5" fillId="3" borderId="9" xfId="0" applyNumberFormat="1" applyFont="1" applyFill="1" applyBorder="1" applyAlignment="1">
      <alignment horizontal="right"/>
    </xf>
    <xf numFmtId="3" fontId="6" fillId="3" borderId="27" xfId="0" applyNumberFormat="1" applyFont="1" applyFill="1" applyBorder="1" applyAlignment="1">
      <alignment horizontal="right"/>
    </xf>
    <xf numFmtId="3" fontId="6" fillId="3" borderId="28" xfId="0" applyNumberFormat="1" applyFont="1" applyFill="1" applyBorder="1" applyAlignment="1">
      <alignment horizontal="right"/>
    </xf>
    <xf numFmtId="49" fontId="10" fillId="0" borderId="29" xfId="0" applyNumberFormat="1" applyFont="1" applyBorder="1" applyAlignment="1">
      <alignment horizontal="left" vertical="top" wrapText="1"/>
    </xf>
    <xf numFmtId="3" fontId="8" fillId="0" borderId="30" xfId="5" applyNumberFormat="1" applyFont="1" applyBorder="1" applyAlignment="1">
      <alignment horizontal="right"/>
      <protection locked="0"/>
    </xf>
    <xf numFmtId="3" fontId="8" fillId="0" borderId="0" xfId="5" applyNumberFormat="1" applyFont="1" applyAlignment="1">
      <alignment horizontal="right"/>
      <protection locked="0"/>
    </xf>
    <xf numFmtId="3" fontId="8" fillId="0" borderId="31" xfId="5" applyNumberFormat="1" applyFont="1" applyBorder="1" applyAlignment="1">
      <alignment horizontal="right"/>
      <protection locked="0"/>
    </xf>
    <xf numFmtId="3" fontId="6" fillId="3" borderId="11" xfId="0" applyNumberFormat="1" applyFont="1" applyFill="1" applyBorder="1" applyAlignment="1">
      <alignment horizontal="right"/>
    </xf>
    <xf numFmtId="3" fontId="6" fillId="3" borderId="8" xfId="0" applyNumberFormat="1" applyFont="1" applyFill="1" applyBorder="1" applyAlignment="1">
      <alignment horizontal="right"/>
    </xf>
    <xf numFmtId="3" fontId="6" fillId="3" borderId="32" xfId="0" applyNumberFormat="1" applyFont="1" applyFill="1" applyBorder="1" applyAlignment="1">
      <alignment horizontal="right"/>
    </xf>
    <xf numFmtId="3" fontId="6" fillId="3" borderId="33" xfId="0" applyNumberFormat="1" applyFont="1" applyFill="1" applyBorder="1" applyAlignment="1">
      <alignment horizontal="right"/>
    </xf>
    <xf numFmtId="3" fontId="8" fillId="0" borderId="34" xfId="5" applyNumberFormat="1" applyFont="1" applyBorder="1" applyAlignment="1">
      <alignment horizontal="right"/>
      <protection locked="0"/>
    </xf>
    <xf numFmtId="3" fontId="5" fillId="3" borderId="8" xfId="0" applyNumberFormat="1" applyFont="1" applyFill="1" applyBorder="1" applyAlignment="1">
      <alignment horizontal="right"/>
    </xf>
    <xf numFmtId="3" fontId="8" fillId="0" borderId="35" xfId="5" applyNumberFormat="1" applyFont="1" applyBorder="1" applyAlignment="1">
      <alignment horizontal="right"/>
      <protection locked="0"/>
    </xf>
    <xf numFmtId="3" fontId="8" fillId="0" borderId="36" xfId="5" applyNumberFormat="1" applyFont="1" applyBorder="1" applyAlignment="1">
      <alignment horizontal="right"/>
      <protection locked="0"/>
    </xf>
    <xf numFmtId="3" fontId="8" fillId="0" borderId="37" xfId="5" applyNumberFormat="1" applyFont="1" applyBorder="1" applyAlignment="1">
      <alignment horizontal="right"/>
      <protection locked="0"/>
    </xf>
    <xf numFmtId="3" fontId="8" fillId="0" borderId="38" xfId="5" applyNumberFormat="1" applyFont="1" applyBorder="1" applyAlignment="1">
      <alignment horizontal="right"/>
      <protection locked="0"/>
    </xf>
    <xf numFmtId="49" fontId="10" fillId="0" borderId="39" xfId="0" applyNumberFormat="1" applyFont="1" applyBorder="1" applyAlignment="1">
      <alignment horizontal="left" vertical="top" wrapText="1"/>
    </xf>
    <xf numFmtId="0" fontId="8" fillId="0" borderId="29" xfId="5" applyFont="1" applyBorder="1" applyAlignment="1" applyProtection="1">
      <alignment horizontal="left" vertical="center"/>
    </xf>
    <xf numFmtId="3" fontId="8" fillId="0" borderId="30" xfId="5" applyNumberFormat="1" applyFont="1" applyBorder="1">
      <alignment vertical="top"/>
      <protection locked="0"/>
    </xf>
    <xf numFmtId="3" fontId="8" fillId="0" borderId="0" xfId="5" applyNumberFormat="1" applyFont="1">
      <alignment vertical="top"/>
      <protection locked="0"/>
    </xf>
    <xf numFmtId="3" fontId="8" fillId="0" borderId="34" xfId="5" applyNumberFormat="1" applyFont="1" applyBorder="1">
      <alignment vertical="top"/>
      <protection locked="0"/>
    </xf>
    <xf numFmtId="49" fontId="10" fillId="0" borderId="40" xfId="0" applyNumberFormat="1" applyFont="1" applyBorder="1" applyAlignment="1">
      <alignment horizontal="left" vertical="top" wrapText="1"/>
    </xf>
    <xf numFmtId="49" fontId="9" fillId="0" borderId="35" xfId="0" applyNumberFormat="1" applyFont="1" applyBorder="1" applyAlignment="1">
      <alignment horizontal="left" vertical="top"/>
    </xf>
    <xf numFmtId="3" fontId="4" fillId="0" borderId="0" xfId="5" applyNumberFormat="1" applyFont="1">
      <alignment vertical="top"/>
      <protection locked="0"/>
    </xf>
    <xf numFmtId="3" fontId="4" fillId="0" borderId="35" xfId="5" applyNumberFormat="1" applyFont="1" applyBorder="1">
      <alignment vertical="top"/>
      <protection locked="0"/>
    </xf>
    <xf numFmtId="49" fontId="10" fillId="0" borderId="41" xfId="0" applyNumberFormat="1" applyFont="1" applyBorder="1" applyAlignment="1">
      <alignment horizontal="left" vertical="top"/>
    </xf>
    <xf numFmtId="0" fontId="4" fillId="0" borderId="0" xfId="5" applyFont="1">
      <alignment vertical="top"/>
      <protection locked="0"/>
    </xf>
    <xf numFmtId="3" fontId="8" fillId="0" borderId="42" xfId="5" applyNumberFormat="1" applyFont="1" applyBorder="1" applyAlignment="1">
      <alignment horizontal="right"/>
      <protection locked="0"/>
    </xf>
    <xf numFmtId="0" fontId="10" fillId="0" borderId="43" xfId="0" applyFont="1" applyBorder="1"/>
    <xf numFmtId="49" fontId="9" fillId="0" borderId="8" xfId="0" applyNumberFormat="1" applyFont="1" applyBorder="1" applyAlignment="1">
      <alignment horizontal="left" vertical="top" wrapText="1"/>
    </xf>
    <xf numFmtId="3" fontId="4" fillId="0" borderId="0" xfId="5" applyNumberFormat="1" applyFont="1" applyAlignment="1">
      <alignment horizontal="right" vertical="top"/>
      <protection locked="0"/>
    </xf>
    <xf numFmtId="165" fontId="4" fillId="0" borderId="0" xfId="5" applyNumberFormat="1" applyFont="1" applyAlignment="1">
      <alignment horizontal="right" vertical="top"/>
      <protection locked="0"/>
    </xf>
    <xf numFmtId="165" fontId="4" fillId="0" borderId="0" xfId="5" quotePrefix="1" applyNumberFormat="1" applyFont="1" applyAlignment="1">
      <alignment horizontal="right" vertical="top"/>
      <protection locked="0"/>
    </xf>
    <xf numFmtId="165" fontId="4" fillId="0" borderId="0" xfId="5" quotePrefix="1" applyNumberFormat="1" applyFont="1" applyAlignment="1">
      <alignment horizontal="right" vertical="center"/>
      <protection locked="0"/>
    </xf>
    <xf numFmtId="165" fontId="9" fillId="0" borderId="8" xfId="0" quotePrefix="1" applyNumberFormat="1" applyFont="1" applyBorder="1" applyAlignment="1">
      <alignment horizontal="right" vertical="center"/>
    </xf>
    <xf numFmtId="165" fontId="9" fillId="0" borderId="8" xfId="0" applyNumberFormat="1" applyFont="1" applyBorder="1" applyAlignment="1">
      <alignment horizontal="right" vertical="center"/>
    </xf>
    <xf numFmtId="165" fontId="9" fillId="0" borderId="8" xfId="0" applyNumberFormat="1" applyFont="1" applyBorder="1"/>
    <xf numFmtId="165" fontId="9" fillId="0" borderId="33" xfId="0" applyNumberFormat="1" applyFont="1" applyBorder="1"/>
    <xf numFmtId="9" fontId="10" fillId="0" borderId="0" xfId="2" applyFont="1" applyAlignment="1">
      <alignment vertical="center"/>
    </xf>
    <xf numFmtId="165" fontId="10" fillId="0" borderId="0" xfId="2" applyNumberFormat="1" applyFont="1" applyAlignment="1">
      <alignment vertical="center"/>
    </xf>
    <xf numFmtId="2" fontId="10" fillId="0" borderId="0" xfId="2" applyNumberFormat="1" applyFont="1" applyAlignment="1">
      <alignment vertical="center"/>
    </xf>
    <xf numFmtId="166" fontId="0" fillId="0" borderId="0" xfId="2" applyNumberFormat="1" applyFont="1"/>
    <xf numFmtId="0" fontId="2" fillId="0" borderId="0" xfId="3" applyBorder="1"/>
    <xf numFmtId="3" fontId="0" fillId="0" borderId="0" xfId="0" applyNumberFormat="1"/>
    <xf numFmtId="164" fontId="0" fillId="0" borderId="0" xfId="1" applyNumberFormat="1" applyFont="1" applyBorder="1"/>
    <xf numFmtId="0" fontId="6" fillId="0" borderId="44" xfId="0" applyFont="1" applyBorder="1" applyAlignment="1">
      <alignment horizontal="center" vertical="top" wrapText="1"/>
    </xf>
    <xf numFmtId="49" fontId="10" fillId="0" borderId="45" xfId="0" applyNumberFormat="1" applyFont="1" applyBorder="1" applyAlignment="1">
      <alignment horizontal="left" vertical="top" wrapText="1"/>
    </xf>
    <xf numFmtId="49" fontId="10" fillId="0" borderId="30" xfId="0" applyNumberFormat="1" applyFont="1" applyBorder="1" applyAlignment="1">
      <alignment horizontal="left" vertical="top" wrapText="1"/>
    </xf>
    <xf numFmtId="0" fontId="8" fillId="0" borderId="30" xfId="5" applyFont="1" applyBorder="1" applyAlignment="1" applyProtection="1">
      <alignment horizontal="left" vertical="center"/>
    </xf>
    <xf numFmtId="49" fontId="9" fillId="0" borderId="0" xfId="0" applyNumberFormat="1" applyFont="1" applyAlignment="1">
      <alignment horizontal="left" vertical="top"/>
    </xf>
    <xf numFmtId="0" fontId="6" fillId="0" borderId="44" xfId="0" applyFont="1" applyBorder="1" applyAlignment="1">
      <alignment horizontal="center" vertical="center" wrapText="1"/>
    </xf>
    <xf numFmtId="49" fontId="10" fillId="0" borderId="46" xfId="0" applyNumberFormat="1" applyFont="1" applyBorder="1" applyAlignment="1">
      <alignment horizontal="left" vertical="center" wrapText="1"/>
    </xf>
    <xf numFmtId="49" fontId="9" fillId="0" borderId="46" xfId="0" applyNumberFormat="1" applyFont="1" applyBorder="1" applyAlignment="1">
      <alignment horizontal="left" vertical="center" wrapText="1"/>
    </xf>
    <xf numFmtId="49" fontId="10" fillId="0" borderId="0" xfId="0" applyNumberFormat="1" applyFont="1" applyAlignment="1">
      <alignment horizontal="left" vertical="center" wrapText="1"/>
    </xf>
    <xf numFmtId="49" fontId="9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9" fontId="0" fillId="0" borderId="0" xfId="2" applyFont="1"/>
    <xf numFmtId="0" fontId="0" fillId="4" borderId="0" xfId="0" applyFill="1"/>
    <xf numFmtId="9" fontId="0" fillId="4" borderId="0" xfId="0" applyNumberFormat="1" applyFill="1"/>
    <xf numFmtId="0" fontId="3" fillId="4" borderId="0" xfId="0" applyFont="1" applyFill="1"/>
    <xf numFmtId="167" fontId="0" fillId="0" borderId="0" xfId="0" applyNumberFormat="1"/>
    <xf numFmtId="168" fontId="0" fillId="0" borderId="0" xfId="0" applyNumberFormat="1"/>
    <xf numFmtId="20" fontId="0" fillId="0" borderId="0" xfId="0" applyNumberForma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0" borderId="0" xfId="0" applyAlignment="1">
      <alignment horizontal="left" indent="2"/>
    </xf>
    <xf numFmtId="0" fontId="14" fillId="0" borderId="0" xfId="0" applyFont="1" applyAlignment="1">
      <alignment horizontal="left" indent="2"/>
    </xf>
    <xf numFmtId="0" fontId="15" fillId="0" borderId="0" xfId="0" applyFont="1"/>
    <xf numFmtId="167" fontId="15" fillId="0" borderId="0" xfId="0" applyNumberFormat="1" applyFont="1"/>
    <xf numFmtId="168" fontId="3" fillId="0" borderId="0" xfId="0" applyNumberFormat="1" applyFont="1"/>
    <xf numFmtId="164" fontId="3" fillId="0" borderId="0" xfId="0" applyNumberFormat="1" applyFont="1"/>
    <xf numFmtId="168" fontId="12" fillId="0" borderId="0" xfId="0" applyNumberFormat="1" applyFont="1"/>
    <xf numFmtId="0" fontId="11" fillId="5" borderId="0" xfId="0" applyFont="1" applyFill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top" wrapText="1"/>
    </xf>
    <xf numFmtId="0" fontId="6" fillId="0" borderId="17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0" xfId="0" applyFill="1"/>
    <xf numFmtId="1" fontId="0" fillId="0" borderId="0" xfId="0" applyNumberFormat="1"/>
    <xf numFmtId="0" fontId="16" fillId="0" borderId="0" xfId="0" applyFont="1"/>
    <xf numFmtId="9" fontId="0" fillId="0" borderId="0" xfId="0" applyNumberFormat="1" applyFill="1"/>
    <xf numFmtId="0" fontId="0" fillId="0" borderId="0" xfId="0" applyFont="1"/>
  </cellXfs>
  <cellStyles count="6">
    <cellStyle name="Comma" xfId="1" builtinId="3"/>
    <cellStyle name="Hyperlink" xfId="3" builtinId="8"/>
    <cellStyle name="Normal" xfId="0" builtinId="0"/>
    <cellStyle name="Normal 4" xfId="5" xr:uid="{1A474559-AF32-FE42-854D-DEEF7EDE6DE7}"/>
    <cellStyle name="Normal_Sheet1" xfId="4" xr:uid="{26BCF61C-A9C9-FA49-94DD-837659D8B931}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ns.gov.uk/businessindustryandtrade/business/activitysizeandlocation/adhocs/1136smebyregionandindust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2AFDB-A9BD-B840-A8CE-016EB7466B78}">
  <dimension ref="A1:Y140"/>
  <sheetViews>
    <sheetView tabSelected="1" topLeftCell="A96" zoomScale="70" zoomScaleNormal="70" workbookViewId="0">
      <selection activeCell="I111" sqref="I111"/>
    </sheetView>
  </sheetViews>
  <sheetFormatPr baseColWidth="10" defaultRowHeight="16" x14ac:dyDescent="0.2"/>
  <cols>
    <col min="1" max="1" width="35.83203125" bestFit="1" customWidth="1"/>
    <col min="2" max="2" width="61.1640625" bestFit="1" customWidth="1"/>
    <col min="3" max="3" width="21.83203125" bestFit="1" customWidth="1"/>
    <col min="4" max="4" width="28.33203125" customWidth="1"/>
    <col min="5" max="5" width="12.5" hidden="1" customWidth="1"/>
    <col min="6" max="6" width="12.5" bestFit="1" customWidth="1"/>
    <col min="7" max="18" width="15" bestFit="1" customWidth="1"/>
    <col min="19" max="19" width="15" hidden="1" customWidth="1"/>
    <col min="20" max="20" width="12.5" hidden="1" customWidth="1"/>
    <col min="21" max="21" width="12.5" bestFit="1" customWidth="1"/>
    <col min="22" max="22" width="14.83203125" bestFit="1" customWidth="1"/>
    <col min="23" max="25" width="6.1640625" bestFit="1" customWidth="1"/>
  </cols>
  <sheetData>
    <row r="1" spans="1:25" ht="19" collapsed="1" x14ac:dyDescent="0.25">
      <c r="E1" t="s">
        <v>15</v>
      </c>
      <c r="F1" t="s">
        <v>13</v>
      </c>
      <c r="G1" s="129" t="s">
        <v>12</v>
      </c>
      <c r="S1" t="s">
        <v>12</v>
      </c>
      <c r="T1" t="s">
        <v>16</v>
      </c>
      <c r="U1" t="s">
        <v>0</v>
      </c>
      <c r="W1" t="s">
        <v>1</v>
      </c>
      <c r="X1" t="s">
        <v>2</v>
      </c>
      <c r="Y1" t="s">
        <v>3</v>
      </c>
    </row>
    <row r="2" spans="1:25" ht="19" x14ac:dyDescent="0.25">
      <c r="A2" s="129" t="s">
        <v>9</v>
      </c>
      <c r="B2" s="129" t="s">
        <v>4</v>
      </c>
      <c r="C2" s="129" t="s">
        <v>14</v>
      </c>
      <c r="D2" s="129" t="s">
        <v>5</v>
      </c>
      <c r="E2" s="129"/>
      <c r="F2" s="129" t="s">
        <v>17</v>
      </c>
      <c r="G2" s="129">
        <v>1</v>
      </c>
      <c r="H2" s="129">
        <v>2</v>
      </c>
      <c r="I2" s="129">
        <v>3</v>
      </c>
      <c r="J2" s="129">
        <v>4</v>
      </c>
      <c r="K2" s="129">
        <v>5</v>
      </c>
      <c r="L2" s="129">
        <v>6</v>
      </c>
      <c r="M2" s="129">
        <v>7</v>
      </c>
      <c r="N2" s="129">
        <v>8</v>
      </c>
      <c r="O2" s="129">
        <v>9</v>
      </c>
      <c r="P2" s="129">
        <v>10</v>
      </c>
      <c r="Q2" s="129">
        <v>11</v>
      </c>
      <c r="R2" s="129">
        <v>12</v>
      </c>
      <c r="S2" t="s">
        <v>17</v>
      </c>
      <c r="T2" t="s">
        <v>11</v>
      </c>
      <c r="U2" t="s">
        <v>6</v>
      </c>
      <c r="V2" t="s">
        <v>7</v>
      </c>
    </row>
    <row r="3" spans="1:25" x14ac:dyDescent="0.2">
      <c r="A3" s="6" t="s">
        <v>96</v>
      </c>
    </row>
    <row r="4" spans="1:25" x14ac:dyDescent="0.2">
      <c r="A4" t="s">
        <v>8</v>
      </c>
      <c r="B4" t="s">
        <v>25</v>
      </c>
      <c r="C4" s="87">
        <f>((T5-E5)/E5)*1/48*100</f>
        <v>0.51342790306697528</v>
      </c>
    </row>
    <row r="5" spans="1:25" x14ac:dyDescent="0.2">
      <c r="A5" t="s">
        <v>8</v>
      </c>
      <c r="B5" t="s">
        <v>26</v>
      </c>
      <c r="C5">
        <f>((1+C4)^(1/12)-1)/100</f>
        <v>3.513456666819459E-4</v>
      </c>
      <c r="D5" t="s">
        <v>10</v>
      </c>
      <c r="E5" s="2">
        <v>162536550.09999999</v>
      </c>
      <c r="F5" s="2">
        <v>189126240.14199999</v>
      </c>
      <c r="G5" s="2">
        <f t="shared" ref="G5:R5" si="0">F5*(1+$C$5)</f>
        <v>189192688.82692972</v>
      </c>
      <c r="H5" s="2">
        <f t="shared" si="0"/>
        <v>189259160.85831696</v>
      </c>
      <c r="I5" s="2">
        <f t="shared" si="0"/>
        <v>189325656.24436438</v>
      </c>
      <c r="J5" s="2">
        <f t="shared" si="0"/>
        <v>189392174.99327755</v>
      </c>
      <c r="K5" s="2">
        <f t="shared" si="0"/>
        <v>189458717.11326492</v>
      </c>
      <c r="L5" s="2">
        <f t="shared" si="0"/>
        <v>189525282.61253777</v>
      </c>
      <c r="M5" s="3">
        <f t="shared" si="0"/>
        <v>189591871.49931034</v>
      </c>
      <c r="N5" s="3">
        <f t="shared" si="0"/>
        <v>189658483.78179973</v>
      </c>
      <c r="O5" s="3">
        <f t="shared" si="0"/>
        <v>189725119.46822593</v>
      </c>
      <c r="P5" s="3">
        <f t="shared" si="0"/>
        <v>189791778.5668118</v>
      </c>
      <c r="Q5" s="3">
        <f t="shared" si="0"/>
        <v>189858461.08578309</v>
      </c>
      <c r="R5" s="3">
        <f t="shared" si="0"/>
        <v>189925167.0333685</v>
      </c>
      <c r="S5" s="4">
        <v>189853675.84199995</v>
      </c>
      <c r="T5" s="2">
        <v>202592934.14300001</v>
      </c>
      <c r="U5">
        <v>4500</v>
      </c>
      <c r="V5">
        <v>4500</v>
      </c>
      <c r="W5">
        <v>5000</v>
      </c>
      <c r="X5">
        <v>5500</v>
      </c>
      <c r="Y5">
        <v>6000</v>
      </c>
    </row>
    <row r="6" spans="1:25" x14ac:dyDescent="0.2">
      <c r="A6" t="s">
        <v>19</v>
      </c>
      <c r="B6" t="s">
        <v>20</v>
      </c>
      <c r="C6" s="1">
        <v>0.3</v>
      </c>
      <c r="D6" t="s">
        <v>10</v>
      </c>
      <c r="G6" s="2">
        <f>G5*$C$6</f>
        <v>56757806.648078911</v>
      </c>
      <c r="H6" s="2">
        <f t="shared" ref="H6:R6" si="1">H5*$C$6</f>
        <v>56777748.257495083</v>
      </c>
      <c r="I6" s="2">
        <f t="shared" si="1"/>
        <v>56797696.873309314</v>
      </c>
      <c r="J6" s="2">
        <f t="shared" si="1"/>
        <v>56817652.497983262</v>
      </c>
      <c r="K6" s="2">
        <f t="shared" si="1"/>
        <v>56837615.133979477</v>
      </c>
      <c r="L6" s="2">
        <f t="shared" si="1"/>
        <v>56857584.78376133</v>
      </c>
      <c r="M6" s="2">
        <f t="shared" si="1"/>
        <v>56877561.4497931</v>
      </c>
      <c r="N6" s="2">
        <f t="shared" si="1"/>
        <v>56897545.134539917</v>
      </c>
      <c r="O6" s="2">
        <f t="shared" si="1"/>
        <v>56917535.840467773</v>
      </c>
      <c r="P6" s="2">
        <f t="shared" si="1"/>
        <v>56937533.570043541</v>
      </c>
      <c r="Q6" s="2">
        <f t="shared" si="1"/>
        <v>56957538.325734928</v>
      </c>
      <c r="R6" s="2">
        <f t="shared" si="1"/>
        <v>56977550.110010549</v>
      </c>
      <c r="S6" s="1"/>
      <c r="T6" s="1"/>
      <c r="U6" s="1">
        <v>0.7</v>
      </c>
      <c r="V6" s="1">
        <v>0.72</v>
      </c>
      <c r="W6" s="1">
        <v>0.74</v>
      </c>
      <c r="X6" s="1">
        <v>0.73</v>
      </c>
      <c r="Y6" s="1">
        <v>0.75</v>
      </c>
    </row>
    <row r="7" spans="1:25" x14ac:dyDescent="0.2">
      <c r="A7" t="s">
        <v>21</v>
      </c>
      <c r="B7" t="s">
        <v>22</v>
      </c>
      <c r="C7" s="1">
        <v>0.6</v>
      </c>
      <c r="D7" s="5" t="s">
        <v>18</v>
      </c>
      <c r="G7" s="2">
        <f>G6*$C$7</f>
        <v>34054683.988847345</v>
      </c>
      <c r="H7" s="2">
        <f t="shared" ref="H7:R7" si="2">H6*$C$7</f>
        <v>34066648.954497047</v>
      </c>
      <c r="I7" s="2">
        <f t="shared" si="2"/>
        <v>34078618.123985589</v>
      </c>
      <c r="J7" s="2">
        <f t="shared" si="2"/>
        <v>34090591.498789959</v>
      </c>
      <c r="K7" s="2">
        <f t="shared" si="2"/>
        <v>34102569.080387682</v>
      </c>
      <c r="L7" s="2">
        <f t="shared" si="2"/>
        <v>34114550.870256796</v>
      </c>
      <c r="M7" s="2">
        <f t="shared" si="2"/>
        <v>34126536.869875856</v>
      </c>
      <c r="N7" s="2">
        <f t="shared" si="2"/>
        <v>34138527.080723949</v>
      </c>
      <c r="O7" s="2">
        <f t="shared" si="2"/>
        <v>34150521.504280664</v>
      </c>
      <c r="P7" s="2">
        <f t="shared" si="2"/>
        <v>34162520.142026126</v>
      </c>
      <c r="Q7" s="2">
        <f t="shared" si="2"/>
        <v>34174522.995440952</v>
      </c>
      <c r="R7" s="2">
        <f t="shared" si="2"/>
        <v>34186530.066006325</v>
      </c>
      <c r="S7" s="1"/>
      <c r="T7" s="1"/>
      <c r="U7" s="1"/>
      <c r="V7" s="1"/>
      <c r="W7" s="1"/>
      <c r="X7" s="1"/>
      <c r="Y7" s="1"/>
    </row>
    <row r="8" spans="1:25" x14ac:dyDescent="0.2">
      <c r="A8" t="s">
        <v>24</v>
      </c>
      <c r="B8" t="s">
        <v>23</v>
      </c>
      <c r="C8" s="1">
        <v>0.8</v>
      </c>
      <c r="D8" s="5" t="s">
        <v>18</v>
      </c>
      <c r="G8" s="3">
        <f>G7*$C$8</f>
        <v>27243747.191077877</v>
      </c>
      <c r="H8" s="3">
        <f t="shared" ref="H8:R8" si="3">H7*$C$8</f>
        <v>27253319.16359764</v>
      </c>
      <c r="I8" s="3">
        <f t="shared" si="3"/>
        <v>27262894.499188472</v>
      </c>
      <c r="J8" s="3">
        <f t="shared" si="3"/>
        <v>27272473.199031968</v>
      </c>
      <c r="K8" s="3">
        <f t="shared" si="3"/>
        <v>27282055.264310148</v>
      </c>
      <c r="L8" s="3">
        <f t="shared" si="3"/>
        <v>27291640.696205437</v>
      </c>
      <c r="M8" s="3">
        <f t="shared" si="3"/>
        <v>27301229.495900687</v>
      </c>
      <c r="N8" s="3">
        <f t="shared" si="3"/>
        <v>27310821.664579161</v>
      </c>
      <c r="O8" s="3">
        <f t="shared" si="3"/>
        <v>27320417.203424532</v>
      </c>
      <c r="P8" s="3">
        <f t="shared" si="3"/>
        <v>27330016.113620903</v>
      </c>
      <c r="Q8" s="3">
        <f t="shared" si="3"/>
        <v>27339618.396352764</v>
      </c>
      <c r="R8" s="3">
        <f t="shared" si="3"/>
        <v>27349224.052805062</v>
      </c>
      <c r="U8">
        <v>116</v>
      </c>
      <c r="V8">
        <v>116</v>
      </c>
      <c r="W8">
        <v>232</v>
      </c>
      <c r="X8">
        <v>234</v>
      </c>
      <c r="Y8">
        <v>231</v>
      </c>
    </row>
    <row r="9" spans="1:25" x14ac:dyDescent="0.2">
      <c r="A9" t="s">
        <v>156</v>
      </c>
      <c r="B9" t="s">
        <v>158</v>
      </c>
      <c r="C9" s="1">
        <v>0.33050000000000002</v>
      </c>
      <c r="D9" t="s">
        <v>157</v>
      </c>
      <c r="G9" s="3">
        <v>450</v>
      </c>
      <c r="H9" s="3">
        <f>G9*(1+$C$9)</f>
        <v>598.72500000000002</v>
      </c>
      <c r="I9" s="3">
        <f t="shared" ref="I9:R9" si="4">H9*(1+$C$9)</f>
        <v>796.60361250000005</v>
      </c>
      <c r="J9" s="3">
        <f t="shared" si="4"/>
        <v>1059.8811064312501</v>
      </c>
      <c r="K9" s="3">
        <f t="shared" si="4"/>
        <v>1410.1718121067784</v>
      </c>
      <c r="L9" s="3">
        <f t="shared" si="4"/>
        <v>1876.2335960080686</v>
      </c>
      <c r="M9" s="3">
        <f t="shared" si="4"/>
        <v>2496.3287994887355</v>
      </c>
      <c r="N9" s="3">
        <f t="shared" si="4"/>
        <v>3321.3654677197628</v>
      </c>
      <c r="O9" s="3">
        <f t="shared" si="4"/>
        <v>4419.0767548011445</v>
      </c>
      <c r="P9" s="3">
        <f t="shared" si="4"/>
        <v>5879.5816222629228</v>
      </c>
      <c r="Q9" s="3">
        <f t="shared" si="4"/>
        <v>7822.7833484208186</v>
      </c>
      <c r="R9" s="3">
        <f t="shared" si="4"/>
        <v>10408.213245073899</v>
      </c>
      <c r="U9" s="3"/>
    </row>
    <row r="10" spans="1:25" x14ac:dyDescent="0.2">
      <c r="A10" t="s">
        <v>261</v>
      </c>
      <c r="C10" s="1"/>
      <c r="G10" s="3">
        <f>G9</f>
        <v>450</v>
      </c>
      <c r="H10" s="3">
        <f>G10+H9</f>
        <v>1048.7249999999999</v>
      </c>
      <c r="I10" s="3">
        <f t="shared" ref="I10:R10" si="5">H10+I9</f>
        <v>1845.3286125</v>
      </c>
      <c r="J10" s="3">
        <f t="shared" si="5"/>
        <v>2905.2097189312499</v>
      </c>
      <c r="K10" s="3">
        <f t="shared" si="5"/>
        <v>4315.3815310380287</v>
      </c>
      <c r="L10" s="3">
        <f t="shared" si="5"/>
        <v>6191.6151270460978</v>
      </c>
      <c r="M10" s="3">
        <f t="shared" si="5"/>
        <v>8687.9439265348337</v>
      </c>
      <c r="N10" s="3">
        <f t="shared" si="5"/>
        <v>12009.309394254597</v>
      </c>
      <c r="O10" s="3">
        <f t="shared" si="5"/>
        <v>16428.386149055739</v>
      </c>
      <c r="P10" s="3">
        <f t="shared" si="5"/>
        <v>22307.967771318661</v>
      </c>
      <c r="Q10" s="3">
        <f t="shared" si="5"/>
        <v>30130.751119739478</v>
      </c>
      <c r="R10" s="3">
        <f t="shared" si="5"/>
        <v>40538.964364813379</v>
      </c>
      <c r="U10" s="3"/>
    </row>
    <row r="11" spans="1:25" x14ac:dyDescent="0.2">
      <c r="A11" t="s">
        <v>221</v>
      </c>
      <c r="B11" t="s">
        <v>222</v>
      </c>
      <c r="C11" s="102">
        <v>0.65</v>
      </c>
      <c r="D11" s="111" t="s">
        <v>231</v>
      </c>
      <c r="G11" s="2">
        <f>G10*$C$11</f>
        <v>292.5</v>
      </c>
      <c r="H11" s="2">
        <f t="shared" ref="H11:R11" si="6">H10*$C$11</f>
        <v>681.67124999999999</v>
      </c>
      <c r="I11" s="2">
        <f t="shared" si="6"/>
        <v>1199.4635981250001</v>
      </c>
      <c r="J11" s="2">
        <f t="shared" si="6"/>
        <v>1888.3863173053126</v>
      </c>
      <c r="K11" s="2">
        <f t="shared" si="6"/>
        <v>2804.9979951747187</v>
      </c>
      <c r="L11" s="2">
        <f t="shared" si="6"/>
        <v>4024.5498325799635</v>
      </c>
      <c r="M11" s="2">
        <f t="shared" si="6"/>
        <v>5647.1635522476417</v>
      </c>
      <c r="N11" s="2">
        <f t="shared" si="6"/>
        <v>7806.0511062654878</v>
      </c>
      <c r="O11" s="2">
        <f t="shared" si="6"/>
        <v>10678.450996886231</v>
      </c>
      <c r="P11" s="2">
        <f t="shared" si="6"/>
        <v>14500.17905135713</v>
      </c>
      <c r="Q11" s="2">
        <f t="shared" si="6"/>
        <v>19584.988227830661</v>
      </c>
      <c r="R11" s="2">
        <f t="shared" si="6"/>
        <v>26350.326837128698</v>
      </c>
      <c r="S11" s="2">
        <f t="shared" ref="S11:T11" si="7">S9*$C$11</f>
        <v>0</v>
      </c>
      <c r="T11" s="2">
        <f t="shared" si="7"/>
        <v>0</v>
      </c>
      <c r="U11" s="3"/>
    </row>
    <row r="12" spans="1:25" x14ac:dyDescent="0.2">
      <c r="A12" t="s">
        <v>166</v>
      </c>
      <c r="B12" t="s">
        <v>216</v>
      </c>
      <c r="C12">
        <v>5</v>
      </c>
      <c r="D12" t="s">
        <v>209</v>
      </c>
      <c r="G12" s="3">
        <f>$C$12*G11</f>
        <v>1462.5</v>
      </c>
      <c r="H12" s="3">
        <f t="shared" ref="H12:R12" si="8">$C$12*H11</f>
        <v>3408.3562499999998</v>
      </c>
      <c r="I12" s="3">
        <f t="shared" si="8"/>
        <v>5997.3179906250007</v>
      </c>
      <c r="J12" s="3">
        <f t="shared" si="8"/>
        <v>9441.9315865265635</v>
      </c>
      <c r="K12" s="3">
        <f t="shared" si="8"/>
        <v>14024.989975873594</v>
      </c>
      <c r="L12" s="3">
        <f t="shared" si="8"/>
        <v>20122.749162899818</v>
      </c>
      <c r="M12" s="3">
        <f t="shared" si="8"/>
        <v>28235.81776123821</v>
      </c>
      <c r="N12" s="3">
        <f t="shared" si="8"/>
        <v>39030.255531327435</v>
      </c>
      <c r="O12" s="3">
        <f t="shared" si="8"/>
        <v>53392.254984431158</v>
      </c>
      <c r="P12" s="3">
        <f t="shared" si="8"/>
        <v>72500.895256785647</v>
      </c>
      <c r="Q12" s="3">
        <f t="shared" si="8"/>
        <v>97924.941139153307</v>
      </c>
      <c r="R12" s="3">
        <f t="shared" si="8"/>
        <v>131751.63418564349</v>
      </c>
      <c r="U12" s="3"/>
    </row>
    <row r="13" spans="1:25" x14ac:dyDescent="0.2">
      <c r="A13" t="s">
        <v>170</v>
      </c>
      <c r="B13" t="s">
        <v>239</v>
      </c>
      <c r="C13" s="1">
        <v>0.2</v>
      </c>
      <c r="D13" s="111" t="s">
        <v>171</v>
      </c>
      <c r="F13" t="s">
        <v>200</v>
      </c>
      <c r="G13" s="2">
        <f>$C$13*G9</f>
        <v>90</v>
      </c>
      <c r="H13" s="2">
        <f t="shared" ref="H13:R13" si="9">$C$13*H9</f>
        <v>119.745</v>
      </c>
      <c r="I13" s="2">
        <f t="shared" si="9"/>
        <v>159.32072250000002</v>
      </c>
      <c r="J13" s="2">
        <f t="shared" si="9"/>
        <v>211.97622128625005</v>
      </c>
      <c r="K13" s="2">
        <f t="shared" si="9"/>
        <v>282.0343624213557</v>
      </c>
      <c r="L13" s="2">
        <f t="shared" si="9"/>
        <v>375.24671920161376</v>
      </c>
      <c r="M13" s="2">
        <f t="shared" si="9"/>
        <v>499.2657598977471</v>
      </c>
      <c r="N13" s="2">
        <f t="shared" si="9"/>
        <v>664.27309354395265</v>
      </c>
      <c r="O13" s="2">
        <f t="shared" si="9"/>
        <v>883.8153509602289</v>
      </c>
      <c r="P13" s="2">
        <f t="shared" si="9"/>
        <v>1175.9163244525846</v>
      </c>
      <c r="Q13" s="2">
        <f t="shared" si="9"/>
        <v>1564.5566696841638</v>
      </c>
      <c r="R13" s="2">
        <f t="shared" si="9"/>
        <v>2081.6426490147801</v>
      </c>
      <c r="U13" s="3"/>
    </row>
    <row r="14" spans="1:25" x14ac:dyDescent="0.2">
      <c r="A14" t="s">
        <v>224</v>
      </c>
      <c r="B14" t="s">
        <v>238</v>
      </c>
      <c r="C14" s="1">
        <v>0.8</v>
      </c>
      <c r="D14" s="111" t="s">
        <v>225</v>
      </c>
      <c r="G14" s="2">
        <f>G9*$C$14</f>
        <v>360</v>
      </c>
      <c r="H14" s="2">
        <f t="shared" ref="H14:R14" si="10">H9*$C$14</f>
        <v>478.98</v>
      </c>
      <c r="I14" s="2">
        <f t="shared" si="10"/>
        <v>637.28289000000007</v>
      </c>
      <c r="J14" s="2">
        <f t="shared" si="10"/>
        <v>847.90488514500021</v>
      </c>
      <c r="K14" s="2">
        <f t="shared" si="10"/>
        <v>1128.1374496854228</v>
      </c>
      <c r="L14" s="2">
        <f t="shared" si="10"/>
        <v>1500.986876806455</v>
      </c>
      <c r="M14" s="2">
        <f t="shared" si="10"/>
        <v>1997.0630395909884</v>
      </c>
      <c r="N14" s="2">
        <f t="shared" si="10"/>
        <v>2657.0923741758106</v>
      </c>
      <c r="O14" s="2">
        <f t="shared" si="10"/>
        <v>3535.2614038409156</v>
      </c>
      <c r="P14" s="2">
        <f t="shared" si="10"/>
        <v>4703.6652978103384</v>
      </c>
      <c r="Q14" s="2">
        <f t="shared" si="10"/>
        <v>6258.2266787366552</v>
      </c>
      <c r="R14" s="2">
        <f t="shared" si="10"/>
        <v>8326.5705960591204</v>
      </c>
      <c r="U14" s="3"/>
    </row>
    <row r="15" spans="1:25" x14ac:dyDescent="0.2">
      <c r="A15" t="s">
        <v>214</v>
      </c>
      <c r="B15" t="s">
        <v>217</v>
      </c>
      <c r="C15" s="102">
        <v>0.2</v>
      </c>
      <c r="D15" s="111" t="s">
        <v>226</v>
      </c>
      <c r="F15">
        <v>1</v>
      </c>
      <c r="G15" s="2">
        <f>$C$15*G12</f>
        <v>292.5</v>
      </c>
      <c r="H15" s="2">
        <f t="shared" ref="H15:R15" si="11">$C$15*H12</f>
        <v>681.67124999999999</v>
      </c>
      <c r="I15" s="2">
        <f t="shared" si="11"/>
        <v>1199.4635981250001</v>
      </c>
      <c r="J15" s="2">
        <f t="shared" si="11"/>
        <v>1888.3863173053128</v>
      </c>
      <c r="K15" s="2">
        <f t="shared" si="11"/>
        <v>2804.9979951747191</v>
      </c>
      <c r="L15" s="2">
        <f t="shared" si="11"/>
        <v>4024.5498325799635</v>
      </c>
      <c r="M15" s="2">
        <f t="shared" si="11"/>
        <v>5647.1635522476427</v>
      </c>
      <c r="N15" s="2">
        <f t="shared" si="11"/>
        <v>7806.0511062654878</v>
      </c>
      <c r="O15" s="2">
        <f t="shared" si="11"/>
        <v>10678.450996886233</v>
      </c>
      <c r="P15" s="2">
        <f t="shared" si="11"/>
        <v>14500.17905135713</v>
      </c>
      <c r="Q15" s="2">
        <f t="shared" si="11"/>
        <v>19584.988227830661</v>
      </c>
      <c r="R15" s="2">
        <f t="shared" si="11"/>
        <v>26350.326837128698</v>
      </c>
      <c r="U15" s="3"/>
    </row>
    <row r="16" spans="1:25" x14ac:dyDescent="0.2">
      <c r="A16" t="s">
        <v>215</v>
      </c>
      <c r="B16" t="s">
        <v>219</v>
      </c>
      <c r="C16" s="102">
        <v>0.4</v>
      </c>
      <c r="D16" s="111" t="s">
        <v>227</v>
      </c>
      <c r="F16">
        <v>2</v>
      </c>
      <c r="G16" s="2">
        <f>$C$16*G12</f>
        <v>585</v>
      </c>
      <c r="H16" s="2">
        <f t="shared" ref="H16:R16" si="12">$C$16*H12</f>
        <v>1363.3425</v>
      </c>
      <c r="I16" s="2">
        <f t="shared" si="12"/>
        <v>2398.9271962500002</v>
      </c>
      <c r="J16" s="2">
        <f t="shared" si="12"/>
        <v>3776.7726346106256</v>
      </c>
      <c r="K16" s="2">
        <f t="shared" si="12"/>
        <v>5609.9959903494382</v>
      </c>
      <c r="L16" s="2">
        <f t="shared" si="12"/>
        <v>8049.0996651599271</v>
      </c>
      <c r="M16" s="2">
        <f t="shared" si="12"/>
        <v>11294.327104495285</v>
      </c>
      <c r="N16" s="2">
        <f t="shared" si="12"/>
        <v>15612.102212530976</v>
      </c>
      <c r="O16" s="2">
        <f t="shared" si="12"/>
        <v>21356.901993772466</v>
      </c>
      <c r="P16" s="2">
        <f t="shared" si="12"/>
        <v>29000.358102714261</v>
      </c>
      <c r="Q16" s="2">
        <f t="shared" si="12"/>
        <v>39169.976455661323</v>
      </c>
      <c r="R16" s="2">
        <f t="shared" si="12"/>
        <v>52700.653674257395</v>
      </c>
      <c r="U16" s="3"/>
    </row>
    <row r="17" spans="1:21" x14ac:dyDescent="0.2">
      <c r="A17" t="s">
        <v>218</v>
      </c>
      <c r="B17" t="s">
        <v>217</v>
      </c>
      <c r="C17" s="102">
        <v>0.2</v>
      </c>
      <c r="D17" s="111" t="s">
        <v>228</v>
      </c>
      <c r="F17">
        <v>1</v>
      </c>
      <c r="G17" s="2">
        <f>$C$17*G12</f>
        <v>292.5</v>
      </c>
      <c r="H17" s="2">
        <f t="shared" ref="H17:R17" si="13">$C$17*H12</f>
        <v>681.67124999999999</v>
      </c>
      <c r="I17" s="2">
        <f t="shared" si="13"/>
        <v>1199.4635981250001</v>
      </c>
      <c r="J17" s="2">
        <f t="shared" si="13"/>
        <v>1888.3863173053128</v>
      </c>
      <c r="K17" s="2">
        <f t="shared" si="13"/>
        <v>2804.9979951747191</v>
      </c>
      <c r="L17" s="2">
        <f t="shared" si="13"/>
        <v>4024.5498325799635</v>
      </c>
      <c r="M17" s="2">
        <f t="shared" si="13"/>
        <v>5647.1635522476427</v>
      </c>
      <c r="N17" s="2">
        <f t="shared" si="13"/>
        <v>7806.0511062654878</v>
      </c>
      <c r="O17" s="2">
        <f t="shared" si="13"/>
        <v>10678.450996886233</v>
      </c>
      <c r="P17" s="2">
        <f t="shared" si="13"/>
        <v>14500.17905135713</v>
      </c>
      <c r="Q17" s="2">
        <f t="shared" si="13"/>
        <v>19584.988227830661</v>
      </c>
      <c r="R17" s="2">
        <f t="shared" si="13"/>
        <v>26350.326837128698</v>
      </c>
      <c r="U17" s="3"/>
    </row>
    <row r="18" spans="1:21" x14ac:dyDescent="0.2">
      <c r="A18" t="s">
        <v>223</v>
      </c>
      <c r="B18" t="s">
        <v>217</v>
      </c>
      <c r="C18" s="102">
        <v>0.2</v>
      </c>
      <c r="D18" s="111" t="s">
        <v>229</v>
      </c>
      <c r="F18">
        <v>1</v>
      </c>
      <c r="G18" s="2">
        <f>$C$18*G12</f>
        <v>292.5</v>
      </c>
      <c r="H18" s="2">
        <f t="shared" ref="H18:R18" si="14">$C$18*H12</f>
        <v>681.67124999999999</v>
      </c>
      <c r="I18" s="2">
        <f t="shared" si="14"/>
        <v>1199.4635981250001</v>
      </c>
      <c r="J18" s="2">
        <f t="shared" si="14"/>
        <v>1888.3863173053128</v>
      </c>
      <c r="K18" s="2">
        <f t="shared" si="14"/>
        <v>2804.9979951747191</v>
      </c>
      <c r="L18" s="2">
        <f t="shared" si="14"/>
        <v>4024.5498325799635</v>
      </c>
      <c r="M18" s="2">
        <f t="shared" si="14"/>
        <v>5647.1635522476427</v>
      </c>
      <c r="N18" s="2">
        <f t="shared" si="14"/>
        <v>7806.0511062654878</v>
      </c>
      <c r="O18" s="2">
        <f t="shared" si="14"/>
        <v>10678.450996886233</v>
      </c>
      <c r="P18" s="2">
        <f t="shared" si="14"/>
        <v>14500.17905135713</v>
      </c>
      <c r="Q18" s="2">
        <f t="shared" si="14"/>
        <v>19584.988227830661</v>
      </c>
      <c r="R18" s="2">
        <f t="shared" si="14"/>
        <v>26350.326837128698</v>
      </c>
      <c r="U18" s="3"/>
    </row>
    <row r="19" spans="1:21" x14ac:dyDescent="0.2">
      <c r="A19" t="s">
        <v>220</v>
      </c>
      <c r="B19" t="s">
        <v>260</v>
      </c>
      <c r="C19" s="128">
        <v>6</v>
      </c>
      <c r="D19" s="111" t="s">
        <v>230</v>
      </c>
      <c r="G19" s="2">
        <f>$C$19*G14</f>
        <v>2160</v>
      </c>
      <c r="H19" s="2">
        <f>($C$19*H14)+G19</f>
        <v>5033.88</v>
      </c>
      <c r="I19" s="2">
        <f t="shared" ref="I19:R19" si="15">($C$19*I14)+H19</f>
        <v>8857.5773399999998</v>
      </c>
      <c r="J19" s="2">
        <f t="shared" si="15"/>
        <v>13945.00665087</v>
      </c>
      <c r="K19" s="2">
        <f t="shared" si="15"/>
        <v>20713.831348982538</v>
      </c>
      <c r="L19" s="2">
        <f t="shared" si="15"/>
        <v>29719.752609821269</v>
      </c>
      <c r="M19" s="2">
        <f t="shared" si="15"/>
        <v>41702.130847367196</v>
      </c>
      <c r="N19" s="2">
        <f t="shared" si="15"/>
        <v>57644.685092422063</v>
      </c>
      <c r="O19" s="2">
        <f t="shared" si="15"/>
        <v>78856.253515467557</v>
      </c>
      <c r="P19" s="2">
        <f t="shared" si="15"/>
        <v>107078.2453023296</v>
      </c>
      <c r="Q19" s="2">
        <f t="shared" si="15"/>
        <v>144627.60537474952</v>
      </c>
      <c r="R19" s="2">
        <f t="shared" si="15"/>
        <v>194587.02895110424</v>
      </c>
      <c r="S19" s="2">
        <f t="shared" ref="S19:T19" si="16">$C$19*S14</f>
        <v>0</v>
      </c>
      <c r="T19" s="2">
        <f t="shared" si="16"/>
        <v>0</v>
      </c>
      <c r="U19" s="3"/>
    </row>
    <row r="21" spans="1:21" x14ac:dyDescent="0.2">
      <c r="B21" t="s">
        <v>213</v>
      </c>
      <c r="F21" t="s">
        <v>201</v>
      </c>
      <c r="U21" s="3"/>
    </row>
    <row r="22" spans="1:21" x14ac:dyDescent="0.2">
      <c r="A22" s="6" t="s">
        <v>97</v>
      </c>
    </row>
    <row r="23" spans="1:21" x14ac:dyDescent="0.2">
      <c r="A23" t="s">
        <v>8</v>
      </c>
      <c r="B23" t="str">
        <f>'Business Pop'!A63</f>
        <v>Monthly Growth rate</v>
      </c>
      <c r="C23">
        <f>'Business Pop'!B63/100</f>
        <v>8.5011032011090616E-4</v>
      </c>
      <c r="D23" s="88" t="s">
        <v>29</v>
      </c>
      <c r="G23" s="89">
        <f>'Business Pop'!$R$35*(1+$C$23)</f>
        <v>2727086.3550969283</v>
      </c>
      <c r="H23" s="90">
        <f>G23*(1+$C$23)</f>
        <v>2729404.6793512297</v>
      </c>
      <c r="I23" s="90">
        <f t="shared" ref="I23:R23" si="17">H23*(1+$C$23)</f>
        <v>2731724.9744369048</v>
      </c>
      <c r="J23" s="90">
        <f t="shared" si="17"/>
        <v>2734047.2420293782</v>
      </c>
      <c r="K23" s="90">
        <f t="shared" si="17"/>
        <v>2736371.4838054981</v>
      </c>
      <c r="L23" s="90">
        <f t="shared" si="17"/>
        <v>2738697.7014435381</v>
      </c>
      <c r="M23" s="90">
        <f t="shared" si="17"/>
        <v>2741025.8966231989</v>
      </c>
      <c r="N23" s="90">
        <f t="shared" si="17"/>
        <v>2743356.0710256095</v>
      </c>
      <c r="O23" s="90">
        <f t="shared" si="17"/>
        <v>2745688.2263333271</v>
      </c>
      <c r="P23" s="90">
        <f t="shared" si="17"/>
        <v>2748022.3642303399</v>
      </c>
      <c r="Q23" s="90">
        <f t="shared" si="17"/>
        <v>2750358.4864020674</v>
      </c>
      <c r="R23" s="90">
        <f t="shared" si="17"/>
        <v>2752696.594535362</v>
      </c>
    </row>
    <row r="24" spans="1:21" x14ac:dyDescent="0.2">
      <c r="A24" t="s">
        <v>101</v>
      </c>
      <c r="B24" t="s">
        <v>111</v>
      </c>
      <c r="G24" s="2">
        <f>SUM('Business Pop'!$C$65:$E$65)*Assumptions!G23</f>
        <v>1802404.2456150916</v>
      </c>
      <c r="H24" s="2">
        <f>SUM('Business Pop'!$C$65:$E$65)*Assumptions!H23</f>
        <v>1803936.4880653007</v>
      </c>
      <c r="I24" s="2">
        <f>SUM('Business Pop'!$C$65:$E$65)*Assumptions!I23</f>
        <v>1805470.0330906294</v>
      </c>
      <c r="J24" s="2">
        <f>SUM('Business Pop'!$C$65:$E$65)*Assumptions!J23</f>
        <v>1807004.8817984106</v>
      </c>
      <c r="K24" s="2">
        <f>SUM('Business Pop'!$C$65:$E$65)*Assumptions!K23</f>
        <v>1808541.0352969181</v>
      </c>
      <c r="L24" s="2">
        <f>SUM('Business Pop'!$C$65:$E$65)*Assumptions!L23</f>
        <v>1810078.494695368</v>
      </c>
      <c r="M24" s="2">
        <f>SUM('Business Pop'!$C$65:$E$65)*Assumptions!M23</f>
        <v>1811617.261103919</v>
      </c>
      <c r="N24" s="2">
        <f>SUM('Business Pop'!$C$65:$E$65)*Assumptions!N23</f>
        <v>1813157.3356336746</v>
      </c>
      <c r="O24" s="2">
        <f>SUM('Business Pop'!$C$65:$E$65)*Assumptions!O23</f>
        <v>1814698.7193966815</v>
      </c>
      <c r="P24" s="2">
        <f>SUM('Business Pop'!$C$65:$E$65)*Assumptions!P23</f>
        <v>1816241.4135059325</v>
      </c>
      <c r="Q24" s="2">
        <f>SUM('Business Pop'!$C$65:$E$65)*Assumptions!Q23</f>
        <v>1817785.4190753666</v>
      </c>
      <c r="R24" s="2">
        <f>SUM('Business Pop'!$C$65:$E$65)*Assumptions!R23</f>
        <v>1819330.7372198694</v>
      </c>
    </row>
    <row r="25" spans="1:21" x14ac:dyDescent="0.2">
      <c r="A25" t="s">
        <v>115</v>
      </c>
      <c r="B25" t="s">
        <v>100</v>
      </c>
      <c r="C25" s="1">
        <f>'Business Pop'!B69</f>
        <v>0.17817467162365999</v>
      </c>
      <c r="D25" t="s">
        <v>114</v>
      </c>
      <c r="G25" s="2">
        <f>$C$25*G23</f>
        <v>485897.71580875904</v>
      </c>
      <c r="H25" s="2">
        <f t="shared" ref="H25:R25" si="18">$C$25*H23</f>
        <v>486310.78247148637</v>
      </c>
      <c r="I25" s="2">
        <f t="shared" si="18"/>
        <v>486724.20028644649</v>
      </c>
      <c r="J25" s="2">
        <f t="shared" si="18"/>
        <v>487137.96955215774</v>
      </c>
      <c r="K25" s="2">
        <f t="shared" si="18"/>
        <v>487552.09056739189</v>
      </c>
      <c r="L25" s="2">
        <f t="shared" si="18"/>
        <v>487966.56363117479</v>
      </c>
      <c r="M25" s="2">
        <f t="shared" si="18"/>
        <v>488381.38904278667</v>
      </c>
      <c r="N25" s="2">
        <f t="shared" si="18"/>
        <v>488796.56710176205</v>
      </c>
      <c r="O25" s="2">
        <f t="shared" si="18"/>
        <v>489212.09810788999</v>
      </c>
      <c r="P25" s="2">
        <f t="shared" si="18"/>
        <v>489627.98236121458</v>
      </c>
      <c r="Q25" s="2">
        <f t="shared" si="18"/>
        <v>490044.22016203485</v>
      </c>
      <c r="R25" s="2">
        <f t="shared" si="18"/>
        <v>490460.81181090523</v>
      </c>
    </row>
    <row r="26" spans="1:21" x14ac:dyDescent="0.2">
      <c r="A26" t="s">
        <v>99</v>
      </c>
      <c r="C26" s="102">
        <f>SUM('Business Pop'!$C$68:$E$68)/'Business Pop'!M68</f>
        <v>0.76777861313943785</v>
      </c>
      <c r="G26" s="2">
        <f>G25*$C$26</f>
        <v>373061.87437126972</v>
      </c>
      <c r="H26" s="2">
        <f t="shared" ref="H26:R26" si="19">H25*$C$26</f>
        <v>373379.01812071266</v>
      </c>
      <c r="I26" s="2">
        <f t="shared" si="19"/>
        <v>373696.43147732987</v>
      </c>
      <c r="J26" s="2">
        <f t="shared" si="19"/>
        <v>374014.11467031739</v>
      </c>
      <c r="K26" s="2">
        <f t="shared" si="19"/>
        <v>374332.06792906573</v>
      </c>
      <c r="L26" s="2">
        <f t="shared" si="19"/>
        <v>374650.29148316063</v>
      </c>
      <c r="M26" s="2">
        <f t="shared" si="19"/>
        <v>374968.78556238301</v>
      </c>
      <c r="N26" s="2">
        <f t="shared" si="19"/>
        <v>375287.55039670906</v>
      </c>
      <c r="O26" s="2">
        <f t="shared" si="19"/>
        <v>375606.58621631039</v>
      </c>
      <c r="P26" s="2">
        <f t="shared" si="19"/>
        <v>375925.89325155446</v>
      </c>
      <c r="Q26" s="2">
        <f t="shared" si="19"/>
        <v>376245.47173300444</v>
      </c>
      <c r="R26" s="2">
        <f t="shared" si="19"/>
        <v>376565.32189141965</v>
      </c>
    </row>
    <row r="27" spans="1:21" x14ac:dyDescent="0.2">
      <c r="A27" t="s">
        <v>116</v>
      </c>
      <c r="C27" s="1">
        <v>0.7</v>
      </c>
      <c r="D27" s="5" t="s">
        <v>18</v>
      </c>
      <c r="G27" s="2">
        <f>G26*$C$27</f>
        <v>261143.31205988879</v>
      </c>
      <c r="H27" s="2">
        <f t="shared" ref="H27:R27" si="20">H26*$C$27</f>
        <v>261365.31268449884</v>
      </c>
      <c r="I27" s="2">
        <f t="shared" si="20"/>
        <v>261587.50203413088</v>
      </c>
      <c r="J27" s="2">
        <f t="shared" si="20"/>
        <v>261809.88026922217</v>
      </c>
      <c r="K27" s="2">
        <f t="shared" si="20"/>
        <v>262032.447550346</v>
      </c>
      <c r="L27" s="2">
        <f t="shared" si="20"/>
        <v>262255.20403821243</v>
      </c>
      <c r="M27" s="2">
        <f t="shared" si="20"/>
        <v>262478.14989366807</v>
      </c>
      <c r="N27" s="2">
        <f t="shared" si="20"/>
        <v>262701.28527769633</v>
      </c>
      <c r="O27" s="2">
        <f t="shared" si="20"/>
        <v>262924.61035141727</v>
      </c>
      <c r="P27" s="2">
        <f t="shared" si="20"/>
        <v>263148.12527608813</v>
      </c>
      <c r="Q27" s="2">
        <f t="shared" si="20"/>
        <v>263371.83021310309</v>
      </c>
      <c r="R27" s="2">
        <f t="shared" si="20"/>
        <v>263595.72532399371</v>
      </c>
    </row>
    <row r="28" spans="1:21" x14ac:dyDescent="0.2">
      <c r="A28" t="s">
        <v>117</v>
      </c>
      <c r="C28" s="1">
        <v>0.3</v>
      </c>
      <c r="D28" s="5" t="s">
        <v>18</v>
      </c>
      <c r="G28" s="2">
        <f>$C$28*G27</f>
        <v>78342.99361796664</v>
      </c>
      <c r="H28" s="2">
        <f t="shared" ref="H28:R28" si="21">$C$28*H27</f>
        <v>78409.59380534965</v>
      </c>
      <c r="I28" s="2">
        <f t="shared" si="21"/>
        <v>78476.250610239265</v>
      </c>
      <c r="J28" s="2">
        <f t="shared" si="21"/>
        <v>78542.964080766644</v>
      </c>
      <c r="K28" s="2">
        <f t="shared" si="21"/>
        <v>78609.734265103791</v>
      </c>
      <c r="L28" s="2">
        <f t="shared" si="21"/>
        <v>78676.561211463719</v>
      </c>
      <c r="M28" s="2">
        <f t="shared" si="21"/>
        <v>78743.444968100419</v>
      </c>
      <c r="N28" s="2">
        <f t="shared" si="21"/>
        <v>78810.385583308889</v>
      </c>
      <c r="O28" s="2">
        <f t="shared" si="21"/>
        <v>78877.383105425179</v>
      </c>
      <c r="P28" s="2">
        <f t="shared" si="21"/>
        <v>78944.437582826431</v>
      </c>
      <c r="Q28" s="2">
        <f t="shared" si="21"/>
        <v>79011.549063930928</v>
      </c>
      <c r="R28" s="2">
        <f t="shared" si="21"/>
        <v>79078.717597198105</v>
      </c>
    </row>
    <row r="29" spans="1:21" x14ac:dyDescent="0.2">
      <c r="A29" t="s">
        <v>232</v>
      </c>
      <c r="B29" t="s">
        <v>159</v>
      </c>
      <c r="C29" s="1">
        <f>C9</f>
        <v>0.33050000000000002</v>
      </c>
      <c r="D29" t="s">
        <v>233</v>
      </c>
      <c r="F29" t="s">
        <v>198</v>
      </c>
      <c r="G29" s="2">
        <v>50</v>
      </c>
      <c r="H29" s="3">
        <f>G29*(1+$C$29)</f>
        <v>66.525000000000006</v>
      </c>
      <c r="I29" s="3">
        <f t="shared" ref="I29:R29" si="22">H29*(1+$C$29)</f>
        <v>88.511512500000009</v>
      </c>
      <c r="J29" s="3">
        <f t="shared" si="22"/>
        <v>117.76456738125002</v>
      </c>
      <c r="K29" s="3">
        <f t="shared" si="22"/>
        <v>156.68575690075315</v>
      </c>
      <c r="L29" s="3">
        <f t="shared" si="22"/>
        <v>208.47039955645207</v>
      </c>
      <c r="M29" s="3">
        <f t="shared" si="22"/>
        <v>277.36986660985946</v>
      </c>
      <c r="N29" s="3">
        <f t="shared" si="22"/>
        <v>369.04060752441802</v>
      </c>
      <c r="O29" s="3">
        <f t="shared" si="22"/>
        <v>491.00852831123819</v>
      </c>
      <c r="P29" s="3">
        <f t="shared" si="22"/>
        <v>653.28684691810247</v>
      </c>
      <c r="Q29" s="3">
        <f t="shared" si="22"/>
        <v>869.19814982453534</v>
      </c>
      <c r="R29" s="3">
        <f t="shared" si="22"/>
        <v>1156.4681383415443</v>
      </c>
      <c r="U29" s="3"/>
    </row>
    <row r="30" spans="1:21" x14ac:dyDescent="0.2">
      <c r="A30" t="s">
        <v>234</v>
      </c>
      <c r="B30" t="s">
        <v>236</v>
      </c>
      <c r="C30" s="128">
        <v>350</v>
      </c>
      <c r="G30" s="2">
        <v>350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U30" s="3"/>
    </row>
    <row r="31" spans="1:21" x14ac:dyDescent="0.2">
      <c r="A31" t="s">
        <v>235</v>
      </c>
      <c r="C31" s="128"/>
      <c r="G31" s="2">
        <f>G29+G30</f>
        <v>400</v>
      </c>
      <c r="H31" s="2">
        <f t="shared" ref="H31:T31" si="23">H29+H30</f>
        <v>66.525000000000006</v>
      </c>
      <c r="I31" s="2">
        <f t="shared" si="23"/>
        <v>88.511512500000009</v>
      </c>
      <c r="J31" s="2">
        <f t="shared" si="23"/>
        <v>117.76456738125002</v>
      </c>
      <c r="K31" s="2">
        <f t="shared" si="23"/>
        <v>156.68575690075315</v>
      </c>
      <c r="L31" s="2">
        <f t="shared" si="23"/>
        <v>208.47039955645207</v>
      </c>
      <c r="M31" s="2">
        <f t="shared" si="23"/>
        <v>277.36986660985946</v>
      </c>
      <c r="N31" s="2">
        <f t="shared" si="23"/>
        <v>369.04060752441802</v>
      </c>
      <c r="O31" s="2">
        <f t="shared" si="23"/>
        <v>491.00852831123819</v>
      </c>
      <c r="P31" s="2">
        <f t="shared" si="23"/>
        <v>653.28684691810247</v>
      </c>
      <c r="Q31" s="2">
        <f t="shared" si="23"/>
        <v>869.19814982453534</v>
      </c>
      <c r="R31" s="2">
        <f t="shared" si="23"/>
        <v>1156.4681383415443</v>
      </c>
      <c r="S31" s="2">
        <f t="shared" si="23"/>
        <v>0</v>
      </c>
      <c r="T31" s="2">
        <f t="shared" si="23"/>
        <v>0</v>
      </c>
      <c r="U31" s="3"/>
    </row>
    <row r="32" spans="1:21" x14ac:dyDescent="0.2">
      <c r="A32" t="s">
        <v>257</v>
      </c>
      <c r="C32" s="128"/>
      <c r="G32" s="2">
        <f>G31</f>
        <v>400</v>
      </c>
      <c r="H32" s="2">
        <f>G32+H31</f>
        <v>466.52499999999998</v>
      </c>
      <c r="I32" s="2">
        <f t="shared" ref="I32:R32" si="24">H32+I31</f>
        <v>555.03651249999996</v>
      </c>
      <c r="J32" s="2">
        <f t="shared" si="24"/>
        <v>672.80107988124996</v>
      </c>
      <c r="K32" s="2">
        <f t="shared" si="24"/>
        <v>829.48683678200314</v>
      </c>
      <c r="L32" s="2">
        <f t="shared" si="24"/>
        <v>1037.9572363384552</v>
      </c>
      <c r="M32" s="2">
        <f t="shared" si="24"/>
        <v>1315.3271029483146</v>
      </c>
      <c r="N32" s="2">
        <f t="shared" si="24"/>
        <v>1684.3677104727326</v>
      </c>
      <c r="O32" s="2">
        <f t="shared" si="24"/>
        <v>2175.3762387839706</v>
      </c>
      <c r="P32" s="2">
        <f t="shared" si="24"/>
        <v>2828.6630857020732</v>
      </c>
      <c r="Q32" s="2">
        <f t="shared" si="24"/>
        <v>3697.8612355266087</v>
      </c>
      <c r="R32" s="2">
        <f t="shared" si="24"/>
        <v>4854.3293738681532</v>
      </c>
      <c r="S32" s="2"/>
      <c r="T32" s="2"/>
      <c r="U32" s="3"/>
    </row>
    <row r="33" spans="1:21" x14ac:dyDescent="0.2">
      <c r="A33" t="s">
        <v>221</v>
      </c>
      <c r="B33" t="s">
        <v>222</v>
      </c>
      <c r="C33" s="102">
        <v>0.65</v>
      </c>
      <c r="D33" s="111" t="s">
        <v>231</v>
      </c>
      <c r="G33" s="2">
        <f>G32*$C$33</f>
        <v>260</v>
      </c>
      <c r="H33" s="2">
        <f t="shared" ref="H33:R33" si="25">H32*$C$33</f>
        <v>303.24124999999998</v>
      </c>
      <c r="I33" s="2">
        <f t="shared" si="25"/>
        <v>360.77373312499998</v>
      </c>
      <c r="J33" s="2">
        <f t="shared" si="25"/>
        <v>437.32070192281248</v>
      </c>
      <c r="K33" s="2">
        <f t="shared" si="25"/>
        <v>539.16644390830209</v>
      </c>
      <c r="L33" s="2">
        <f t="shared" si="25"/>
        <v>674.67220361999591</v>
      </c>
      <c r="M33" s="2">
        <f t="shared" si="25"/>
        <v>854.9626169164045</v>
      </c>
      <c r="N33" s="2">
        <f t="shared" si="25"/>
        <v>1094.8390118072762</v>
      </c>
      <c r="O33" s="2">
        <f t="shared" si="25"/>
        <v>1413.994555209581</v>
      </c>
      <c r="P33" s="2">
        <f t="shared" si="25"/>
        <v>1838.6310057063477</v>
      </c>
      <c r="Q33" s="2">
        <f t="shared" si="25"/>
        <v>2403.6098030922958</v>
      </c>
      <c r="R33" s="2">
        <f t="shared" si="25"/>
        <v>3155.3140930142995</v>
      </c>
      <c r="S33" s="2"/>
      <c r="T33" s="2"/>
      <c r="U33" s="3"/>
    </row>
    <row r="34" spans="1:21" x14ac:dyDescent="0.2">
      <c r="A34" t="s">
        <v>166</v>
      </c>
      <c r="B34" t="s">
        <v>237</v>
      </c>
      <c r="C34">
        <v>10</v>
      </c>
      <c r="D34" t="s">
        <v>209</v>
      </c>
      <c r="G34" s="2">
        <f>$C$34*G33</f>
        <v>2600</v>
      </c>
      <c r="H34" s="2">
        <f t="shared" ref="H34:R34" si="26">$C$34*H33</f>
        <v>3032.4124999999999</v>
      </c>
      <c r="I34" s="2">
        <f t="shared" si="26"/>
        <v>3607.7373312499999</v>
      </c>
      <c r="J34" s="2">
        <f t="shared" si="26"/>
        <v>4373.2070192281244</v>
      </c>
      <c r="K34" s="2">
        <f t="shared" si="26"/>
        <v>5391.6644390830206</v>
      </c>
      <c r="L34" s="2">
        <f t="shared" si="26"/>
        <v>6746.7220361999589</v>
      </c>
      <c r="M34" s="2">
        <f t="shared" si="26"/>
        <v>8549.6261691640448</v>
      </c>
      <c r="N34" s="2">
        <f t="shared" si="26"/>
        <v>10948.390118072763</v>
      </c>
      <c r="O34" s="2">
        <f t="shared" si="26"/>
        <v>14139.945552095811</v>
      </c>
      <c r="P34" s="2">
        <f t="shared" si="26"/>
        <v>18386.310057063478</v>
      </c>
      <c r="Q34" s="2">
        <f t="shared" si="26"/>
        <v>24036.098030922956</v>
      </c>
      <c r="R34" s="2">
        <f t="shared" si="26"/>
        <v>31553.140930142996</v>
      </c>
      <c r="U34" s="3"/>
    </row>
    <row r="35" spans="1:21" x14ac:dyDescent="0.2">
      <c r="A35" t="s">
        <v>170</v>
      </c>
      <c r="B35" t="s">
        <v>258</v>
      </c>
      <c r="C35" s="1">
        <v>0.8</v>
      </c>
      <c r="D35" t="s">
        <v>241</v>
      </c>
      <c r="F35" s="127">
        <v>3</v>
      </c>
      <c r="G35" s="2">
        <f>$C$35*G31*$F$35</f>
        <v>960</v>
      </c>
      <c r="H35" s="2">
        <f t="shared" ref="H35:R35" si="27">$C$35*H31*$F$35</f>
        <v>159.66000000000003</v>
      </c>
      <c r="I35" s="2">
        <f t="shared" si="27"/>
        <v>212.42763000000002</v>
      </c>
      <c r="J35" s="2">
        <f t="shared" si="27"/>
        <v>282.63496171500003</v>
      </c>
      <c r="K35" s="2">
        <f t="shared" si="27"/>
        <v>376.04581656180756</v>
      </c>
      <c r="L35" s="2">
        <f t="shared" si="27"/>
        <v>500.32895893548499</v>
      </c>
      <c r="M35" s="2">
        <f t="shared" si="27"/>
        <v>665.68767986366277</v>
      </c>
      <c r="N35" s="2">
        <f t="shared" si="27"/>
        <v>885.69745805860316</v>
      </c>
      <c r="O35" s="2">
        <f t="shared" si="27"/>
        <v>1178.4204679469717</v>
      </c>
      <c r="P35" s="2">
        <f t="shared" si="27"/>
        <v>1567.8884326034461</v>
      </c>
      <c r="Q35" s="2">
        <f t="shared" si="27"/>
        <v>2086.0755595788851</v>
      </c>
      <c r="R35" s="2">
        <f t="shared" si="27"/>
        <v>2775.5235320197066</v>
      </c>
      <c r="S35" s="2">
        <f>$C$35*S33*$F$35</f>
        <v>0</v>
      </c>
      <c r="T35" s="2">
        <f>$C$35*T33*$F$35</f>
        <v>0</v>
      </c>
      <c r="U35" s="3"/>
    </row>
    <row r="36" spans="1:21" x14ac:dyDescent="0.2">
      <c r="A36" t="s">
        <v>224</v>
      </c>
      <c r="B36" t="s">
        <v>259</v>
      </c>
      <c r="C36" s="1">
        <v>0.2</v>
      </c>
      <c r="D36" s="111" t="s">
        <v>225</v>
      </c>
      <c r="F36" s="127"/>
      <c r="G36" s="2">
        <f>$C$36*G31</f>
        <v>80</v>
      </c>
      <c r="H36" s="2">
        <f t="shared" ref="H36:R36" si="28">$C$36*H31</f>
        <v>13.305000000000001</v>
      </c>
      <c r="I36" s="2">
        <f t="shared" si="28"/>
        <v>17.702302500000002</v>
      </c>
      <c r="J36" s="2">
        <f t="shared" si="28"/>
        <v>23.552913476250005</v>
      </c>
      <c r="K36" s="2">
        <f t="shared" si="28"/>
        <v>31.33715138015063</v>
      </c>
      <c r="L36" s="2">
        <f t="shared" si="28"/>
        <v>41.694079911290416</v>
      </c>
      <c r="M36" s="2">
        <f t="shared" si="28"/>
        <v>55.473973321971897</v>
      </c>
      <c r="N36" s="2">
        <f t="shared" si="28"/>
        <v>73.808121504883601</v>
      </c>
      <c r="O36" s="2">
        <f t="shared" si="28"/>
        <v>98.201705662247647</v>
      </c>
      <c r="P36" s="2">
        <f t="shared" si="28"/>
        <v>130.65736938362051</v>
      </c>
      <c r="Q36" s="2">
        <f t="shared" si="28"/>
        <v>173.83962996490709</v>
      </c>
      <c r="R36" s="2">
        <f t="shared" si="28"/>
        <v>231.29362766830889</v>
      </c>
      <c r="S36" s="2"/>
      <c r="T36" s="2"/>
      <c r="U36" s="3"/>
    </row>
    <row r="37" spans="1:21" x14ac:dyDescent="0.2">
      <c r="A37" t="s">
        <v>214</v>
      </c>
      <c r="B37" t="s">
        <v>217</v>
      </c>
      <c r="C37" s="102">
        <v>0.2</v>
      </c>
      <c r="D37" s="111" t="s">
        <v>226</v>
      </c>
      <c r="F37" s="127">
        <v>2</v>
      </c>
      <c r="G37" s="2">
        <f>$C$37*G34</f>
        <v>520</v>
      </c>
      <c r="H37" s="2">
        <f t="shared" ref="H37:T37" si="29">$C$37*H34</f>
        <v>606.48249999999996</v>
      </c>
      <c r="I37" s="2">
        <f t="shared" si="29"/>
        <v>721.54746625000007</v>
      </c>
      <c r="J37" s="2">
        <f t="shared" si="29"/>
        <v>874.64140384562495</v>
      </c>
      <c r="K37" s="2">
        <f t="shared" si="29"/>
        <v>1078.3328878166042</v>
      </c>
      <c r="L37" s="2">
        <f t="shared" si="29"/>
        <v>1349.3444072399918</v>
      </c>
      <c r="M37" s="2">
        <f t="shared" si="29"/>
        <v>1709.925233832809</v>
      </c>
      <c r="N37" s="2">
        <f t="shared" si="29"/>
        <v>2189.6780236145528</v>
      </c>
      <c r="O37" s="2">
        <f t="shared" si="29"/>
        <v>2827.9891104191624</v>
      </c>
      <c r="P37" s="2">
        <f t="shared" si="29"/>
        <v>3677.2620114126958</v>
      </c>
      <c r="Q37" s="2">
        <f t="shared" si="29"/>
        <v>4807.2196061845916</v>
      </c>
      <c r="R37" s="2">
        <f t="shared" si="29"/>
        <v>6310.6281860285999</v>
      </c>
      <c r="S37" s="2">
        <f t="shared" si="29"/>
        <v>0</v>
      </c>
      <c r="T37" s="2">
        <f t="shared" si="29"/>
        <v>0</v>
      </c>
      <c r="U37" s="3"/>
    </row>
    <row r="38" spans="1:21" x14ac:dyDescent="0.2">
      <c r="A38" t="s">
        <v>215</v>
      </c>
      <c r="B38" t="s">
        <v>245</v>
      </c>
      <c r="C38" s="102">
        <v>0.2</v>
      </c>
      <c r="D38" s="111" t="s">
        <v>227</v>
      </c>
      <c r="F38" s="127">
        <v>2</v>
      </c>
      <c r="G38" s="2">
        <f>$C38*G$34</f>
        <v>520</v>
      </c>
      <c r="H38" s="2">
        <f t="shared" ref="H38:R38" si="30">$C38*H$34</f>
        <v>606.48249999999996</v>
      </c>
      <c r="I38" s="2">
        <f t="shared" si="30"/>
        <v>721.54746625000007</v>
      </c>
      <c r="J38" s="2">
        <f t="shared" si="30"/>
        <v>874.64140384562495</v>
      </c>
      <c r="K38" s="2">
        <f t="shared" si="30"/>
        <v>1078.3328878166042</v>
      </c>
      <c r="L38" s="2">
        <f t="shared" si="30"/>
        <v>1349.3444072399918</v>
      </c>
      <c r="M38" s="2">
        <f t="shared" si="30"/>
        <v>1709.925233832809</v>
      </c>
      <c r="N38" s="2">
        <f t="shared" si="30"/>
        <v>2189.6780236145528</v>
      </c>
      <c r="O38" s="2">
        <f t="shared" si="30"/>
        <v>2827.9891104191624</v>
      </c>
      <c r="P38" s="2">
        <f t="shared" si="30"/>
        <v>3677.2620114126958</v>
      </c>
      <c r="Q38" s="2">
        <f t="shared" si="30"/>
        <v>4807.2196061845916</v>
      </c>
      <c r="R38" s="2">
        <f t="shared" si="30"/>
        <v>6310.6281860285999</v>
      </c>
      <c r="S38" s="2">
        <f t="shared" ref="S38:T38" si="31">$C38*S$34</f>
        <v>0</v>
      </c>
      <c r="T38" s="2">
        <f t="shared" si="31"/>
        <v>0</v>
      </c>
      <c r="U38" s="3"/>
    </row>
    <row r="39" spans="1:21" x14ac:dyDescent="0.2">
      <c r="A39" t="s">
        <v>218</v>
      </c>
      <c r="B39" t="s">
        <v>217</v>
      </c>
      <c r="C39" s="102">
        <v>0.2</v>
      </c>
      <c r="D39" s="111" t="s">
        <v>228</v>
      </c>
      <c r="F39" s="127">
        <v>2</v>
      </c>
      <c r="G39" s="2">
        <f t="shared" ref="G39:R40" si="32">$C39*G$34</f>
        <v>520</v>
      </c>
      <c r="H39" s="2">
        <f t="shared" si="32"/>
        <v>606.48249999999996</v>
      </c>
      <c r="I39" s="2">
        <f t="shared" si="32"/>
        <v>721.54746625000007</v>
      </c>
      <c r="J39" s="2">
        <f t="shared" si="32"/>
        <v>874.64140384562495</v>
      </c>
      <c r="K39" s="2">
        <f t="shared" si="32"/>
        <v>1078.3328878166042</v>
      </c>
      <c r="L39" s="2">
        <f t="shared" si="32"/>
        <v>1349.3444072399918</v>
      </c>
      <c r="M39" s="2">
        <f t="shared" si="32"/>
        <v>1709.925233832809</v>
      </c>
      <c r="N39" s="2">
        <f t="shared" si="32"/>
        <v>2189.6780236145528</v>
      </c>
      <c r="O39" s="2">
        <f t="shared" si="32"/>
        <v>2827.9891104191624</v>
      </c>
      <c r="P39" s="2">
        <f t="shared" si="32"/>
        <v>3677.2620114126958</v>
      </c>
      <c r="Q39" s="2">
        <f t="shared" si="32"/>
        <v>4807.2196061845916</v>
      </c>
      <c r="R39" s="2">
        <f t="shared" si="32"/>
        <v>6310.6281860285999</v>
      </c>
      <c r="S39" s="2"/>
      <c r="T39" s="2"/>
      <c r="U39" s="3"/>
    </row>
    <row r="40" spans="1:21" x14ac:dyDescent="0.2">
      <c r="A40" t="s">
        <v>223</v>
      </c>
      <c r="B40" t="s">
        <v>217</v>
      </c>
      <c r="C40" s="102">
        <v>0.2</v>
      </c>
      <c r="D40" s="111" t="s">
        <v>229</v>
      </c>
      <c r="F40" s="127">
        <v>2</v>
      </c>
      <c r="G40" s="2">
        <f t="shared" si="32"/>
        <v>520</v>
      </c>
      <c r="H40" s="2">
        <f t="shared" si="32"/>
        <v>606.48249999999996</v>
      </c>
      <c r="I40" s="2">
        <f t="shared" si="32"/>
        <v>721.54746625000007</v>
      </c>
      <c r="J40" s="2">
        <f t="shared" si="32"/>
        <v>874.64140384562495</v>
      </c>
      <c r="K40" s="2">
        <f t="shared" si="32"/>
        <v>1078.3328878166042</v>
      </c>
      <c r="L40" s="2">
        <f t="shared" si="32"/>
        <v>1349.3444072399918</v>
      </c>
      <c r="M40" s="2">
        <f t="shared" si="32"/>
        <v>1709.925233832809</v>
      </c>
      <c r="N40" s="2">
        <f t="shared" si="32"/>
        <v>2189.6780236145528</v>
      </c>
      <c r="O40" s="2">
        <f t="shared" si="32"/>
        <v>2827.9891104191624</v>
      </c>
      <c r="P40" s="2">
        <f t="shared" si="32"/>
        <v>3677.2620114126958</v>
      </c>
      <c r="Q40" s="2">
        <f t="shared" si="32"/>
        <v>4807.2196061845916</v>
      </c>
      <c r="R40" s="2">
        <f t="shared" si="32"/>
        <v>6310.6281860285999</v>
      </c>
      <c r="S40" s="2"/>
      <c r="T40" s="2"/>
      <c r="U40" s="3"/>
    </row>
    <row r="41" spans="1:21" x14ac:dyDescent="0.2">
      <c r="A41" t="s">
        <v>246</v>
      </c>
      <c r="B41" t="s">
        <v>217</v>
      </c>
      <c r="C41" s="102">
        <v>0.2</v>
      </c>
      <c r="D41" s="111" t="s">
        <v>247</v>
      </c>
      <c r="F41" s="127">
        <v>2</v>
      </c>
      <c r="G41" s="2">
        <f>$C$41*G34</f>
        <v>520</v>
      </c>
      <c r="H41" s="2">
        <f t="shared" ref="H41:R41" si="33">$C$41*H34</f>
        <v>606.48249999999996</v>
      </c>
      <c r="I41" s="2">
        <f t="shared" si="33"/>
        <v>721.54746625000007</v>
      </c>
      <c r="J41" s="2">
        <f t="shared" si="33"/>
        <v>874.64140384562495</v>
      </c>
      <c r="K41" s="2">
        <f t="shared" si="33"/>
        <v>1078.3328878166042</v>
      </c>
      <c r="L41" s="2">
        <f t="shared" si="33"/>
        <v>1349.3444072399918</v>
      </c>
      <c r="M41" s="2">
        <f t="shared" si="33"/>
        <v>1709.925233832809</v>
      </c>
      <c r="N41" s="2">
        <f t="shared" si="33"/>
        <v>2189.6780236145528</v>
      </c>
      <c r="O41" s="2">
        <f t="shared" si="33"/>
        <v>2827.9891104191624</v>
      </c>
      <c r="P41" s="2">
        <f t="shared" si="33"/>
        <v>3677.2620114126958</v>
      </c>
      <c r="Q41" s="2">
        <f t="shared" si="33"/>
        <v>4807.2196061845916</v>
      </c>
      <c r="R41" s="2">
        <f t="shared" si="33"/>
        <v>6310.6281860285999</v>
      </c>
      <c r="S41" s="2"/>
      <c r="T41" s="2"/>
      <c r="U41" s="3"/>
    </row>
    <row r="42" spans="1:21" x14ac:dyDescent="0.2">
      <c r="A42" t="s">
        <v>242</v>
      </c>
      <c r="B42" t="s">
        <v>243</v>
      </c>
      <c r="C42" s="1">
        <v>0.15</v>
      </c>
      <c r="F42" s="127"/>
      <c r="G42" s="2">
        <f>$C$42*G33</f>
        <v>39</v>
      </c>
      <c r="H42" s="2">
        <f>$C$42*H33</f>
        <v>45.486187499999993</v>
      </c>
      <c r="I42" s="2">
        <f>$C$42*I33</f>
        <v>54.116059968749994</v>
      </c>
      <c r="J42" s="2">
        <f>$C$42*J33</f>
        <v>65.598105288421863</v>
      </c>
      <c r="K42" s="2">
        <f>$C$42*K33</f>
        <v>80.874966586245307</v>
      </c>
      <c r="L42" s="2">
        <f>$C$42*L33</f>
        <v>101.20083054299938</v>
      </c>
      <c r="M42" s="2">
        <f>$C$42*M33</f>
        <v>128.24439253746067</v>
      </c>
      <c r="N42" s="2">
        <f>$C$42*N33</f>
        <v>164.22585177109141</v>
      </c>
      <c r="O42" s="2">
        <f>$C$42*O33</f>
        <v>212.09918328143715</v>
      </c>
      <c r="P42" s="2">
        <f>$C$42*P33</f>
        <v>275.79465085595211</v>
      </c>
      <c r="Q42" s="2">
        <f>$C$42*Q33</f>
        <v>360.54147046384435</v>
      </c>
      <c r="R42" s="2">
        <f>$C$42*R33</f>
        <v>473.29711395214491</v>
      </c>
      <c r="S42" s="2">
        <f>$C$42*S33</f>
        <v>0</v>
      </c>
      <c r="T42" s="2">
        <f>$C$42*T33</f>
        <v>0</v>
      </c>
      <c r="U42" s="3"/>
    </row>
    <row r="43" spans="1:21" x14ac:dyDescent="0.2">
      <c r="A43" t="s">
        <v>248</v>
      </c>
      <c r="B43" t="s">
        <v>249</v>
      </c>
      <c r="C43" s="128">
        <v>2</v>
      </c>
      <c r="F43" s="127"/>
      <c r="G43" s="2">
        <f>$C$43*G42</f>
        <v>78</v>
      </c>
      <c r="H43" s="2">
        <f t="shared" ref="H43:R43" si="34">$C$43*H42</f>
        <v>90.972374999999985</v>
      </c>
      <c r="I43" s="2">
        <f t="shared" si="34"/>
        <v>108.23211993749999</v>
      </c>
      <c r="J43" s="2">
        <f t="shared" si="34"/>
        <v>131.19621057684373</v>
      </c>
      <c r="K43" s="2">
        <f t="shared" si="34"/>
        <v>161.74993317249061</v>
      </c>
      <c r="L43" s="2">
        <f t="shared" si="34"/>
        <v>202.40166108599877</v>
      </c>
      <c r="M43" s="2">
        <f t="shared" si="34"/>
        <v>256.48878507492134</v>
      </c>
      <c r="N43" s="2">
        <f t="shared" si="34"/>
        <v>328.45170354218283</v>
      </c>
      <c r="O43" s="2">
        <f t="shared" si="34"/>
        <v>424.1983665628743</v>
      </c>
      <c r="P43" s="2">
        <f t="shared" si="34"/>
        <v>551.58930171190423</v>
      </c>
      <c r="Q43" s="2">
        <f t="shared" si="34"/>
        <v>721.0829409276887</v>
      </c>
      <c r="R43" s="2">
        <f t="shared" si="34"/>
        <v>946.59422790428982</v>
      </c>
      <c r="S43" s="2">
        <f t="shared" ref="S43:T43" si="35">O43*S42</f>
        <v>0</v>
      </c>
      <c r="T43" s="2">
        <f t="shared" si="35"/>
        <v>0</v>
      </c>
      <c r="U43" s="3"/>
    </row>
    <row r="44" spans="1:21" x14ac:dyDescent="0.2">
      <c r="A44" t="s">
        <v>220</v>
      </c>
      <c r="B44" t="s">
        <v>260</v>
      </c>
      <c r="C44" s="128">
        <v>6</v>
      </c>
      <c r="D44" s="111" t="s">
        <v>230</v>
      </c>
      <c r="F44" s="127"/>
      <c r="G44" s="2">
        <f>($C$44*G36)</f>
        <v>480</v>
      </c>
      <c r="H44" s="2">
        <f>($C$44*H36)+G44</f>
        <v>559.83000000000004</v>
      </c>
      <c r="I44" s="2">
        <f t="shared" ref="I44:R44" si="36">($C$44*I36)+H44</f>
        <v>666.043815</v>
      </c>
      <c r="J44" s="2">
        <f t="shared" si="36"/>
        <v>807.36129585749995</v>
      </c>
      <c r="K44" s="2">
        <f t="shared" si="36"/>
        <v>995.38420413840367</v>
      </c>
      <c r="L44" s="2">
        <f t="shared" si="36"/>
        <v>1245.5486836061461</v>
      </c>
      <c r="M44" s="2">
        <f t="shared" si="36"/>
        <v>1578.3925235379775</v>
      </c>
      <c r="N44" s="2">
        <f t="shared" si="36"/>
        <v>2021.2412525672789</v>
      </c>
      <c r="O44" s="2">
        <f t="shared" si="36"/>
        <v>2610.4514865407646</v>
      </c>
      <c r="P44" s="2">
        <f t="shared" si="36"/>
        <v>3394.3957028424875</v>
      </c>
      <c r="Q44" s="2">
        <f t="shared" si="36"/>
        <v>4437.43348263193</v>
      </c>
      <c r="R44" s="2">
        <f t="shared" si="36"/>
        <v>5825.1952486417831</v>
      </c>
      <c r="S44" s="2"/>
      <c r="T44" s="2"/>
      <c r="U44" s="3"/>
    </row>
    <row r="45" spans="1:21" x14ac:dyDescent="0.2">
      <c r="A45" t="s">
        <v>250</v>
      </c>
      <c r="B45" t="s">
        <v>251</v>
      </c>
      <c r="C45" s="1"/>
      <c r="D45" s="111" t="s">
        <v>252</v>
      </c>
      <c r="F45" s="127"/>
      <c r="G45" s="2">
        <f>G41-G43</f>
        <v>442</v>
      </c>
      <c r="H45" s="2">
        <f t="shared" ref="H45:T45" si="37">H41-H43</f>
        <v>515.51012500000002</v>
      </c>
      <c r="I45" s="2">
        <f t="shared" si="37"/>
        <v>613.31534631250008</v>
      </c>
      <c r="J45" s="2">
        <f t="shared" si="37"/>
        <v>743.44519326878117</v>
      </c>
      <c r="K45" s="2">
        <f t="shared" si="37"/>
        <v>916.58295464411356</v>
      </c>
      <c r="L45" s="2">
        <f t="shared" si="37"/>
        <v>1146.9427461539931</v>
      </c>
      <c r="M45" s="2">
        <f t="shared" si="37"/>
        <v>1453.4364487578878</v>
      </c>
      <c r="N45" s="2">
        <f t="shared" si="37"/>
        <v>1861.2263200723701</v>
      </c>
      <c r="O45" s="2">
        <f t="shared" si="37"/>
        <v>2403.7907438562879</v>
      </c>
      <c r="P45" s="2">
        <f t="shared" si="37"/>
        <v>3125.6727097007915</v>
      </c>
      <c r="Q45" s="2">
        <f t="shared" si="37"/>
        <v>4086.1366652569031</v>
      </c>
      <c r="R45" s="2">
        <f t="shared" si="37"/>
        <v>5364.0339581243097</v>
      </c>
      <c r="S45" s="2">
        <f t="shared" si="37"/>
        <v>0</v>
      </c>
      <c r="T45" s="2">
        <f t="shared" si="37"/>
        <v>0</v>
      </c>
      <c r="U45" s="3"/>
    </row>
    <row r="46" spans="1:21" x14ac:dyDescent="0.2">
      <c r="C46" s="1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U46" s="3"/>
    </row>
    <row r="47" spans="1:21" x14ac:dyDescent="0.2">
      <c r="A47" s="112" t="s">
        <v>180</v>
      </c>
      <c r="B47" t="s">
        <v>181</v>
      </c>
      <c r="C47" s="104">
        <v>0.4</v>
      </c>
      <c r="D47" t="s">
        <v>199</v>
      </c>
      <c r="G47" s="2">
        <f>($C$47*G31)</f>
        <v>160</v>
      </c>
      <c r="H47" s="2">
        <f t="shared" ref="H47:R47" si="38">($C$47*H31)</f>
        <v>26.610000000000003</v>
      </c>
      <c r="I47" s="2">
        <f t="shared" si="38"/>
        <v>35.404605000000004</v>
      </c>
      <c r="J47" s="2">
        <f t="shared" si="38"/>
        <v>47.10582695250001</v>
      </c>
      <c r="K47" s="2">
        <f t="shared" si="38"/>
        <v>62.674302760301259</v>
      </c>
      <c r="L47" s="2">
        <f t="shared" si="38"/>
        <v>83.388159822580832</v>
      </c>
      <c r="M47" s="2">
        <f t="shared" si="38"/>
        <v>110.94794664394379</v>
      </c>
      <c r="N47" s="2">
        <f t="shared" si="38"/>
        <v>147.6162430097672</v>
      </c>
      <c r="O47" s="2">
        <f t="shared" si="38"/>
        <v>196.40341132449529</v>
      </c>
      <c r="P47" s="2">
        <f t="shared" si="38"/>
        <v>261.31473876724101</v>
      </c>
      <c r="Q47" s="2">
        <f t="shared" si="38"/>
        <v>347.67925992981418</v>
      </c>
      <c r="R47" s="2">
        <f t="shared" si="38"/>
        <v>462.58725533661777</v>
      </c>
      <c r="S47" s="2">
        <f>($C$47*S31)</f>
        <v>0</v>
      </c>
      <c r="T47" s="2">
        <f>($C$47*T31)</f>
        <v>0</v>
      </c>
      <c r="U47" s="3"/>
    </row>
    <row r="48" spans="1:21" x14ac:dyDescent="0.2">
      <c r="A48" s="113" t="s">
        <v>177</v>
      </c>
      <c r="B48" t="s">
        <v>181</v>
      </c>
      <c r="C48" s="104">
        <v>0.25</v>
      </c>
      <c r="D48" s="107">
        <v>15</v>
      </c>
      <c r="G48" s="90">
        <f>($C$48*G31)</f>
        <v>100</v>
      </c>
      <c r="H48" s="90">
        <f t="shared" ref="H48:R48" si="39">($C$48*H31)</f>
        <v>16.631250000000001</v>
      </c>
      <c r="I48" s="90">
        <f t="shared" si="39"/>
        <v>22.127878125000002</v>
      </c>
      <c r="J48" s="90">
        <f t="shared" si="39"/>
        <v>29.441141845312504</v>
      </c>
      <c r="K48" s="90">
        <f t="shared" si="39"/>
        <v>39.171439225188287</v>
      </c>
      <c r="L48" s="90">
        <f t="shared" si="39"/>
        <v>52.117599889113016</v>
      </c>
      <c r="M48" s="90">
        <f t="shared" si="39"/>
        <v>69.342466652464864</v>
      </c>
      <c r="N48" s="90">
        <f t="shared" si="39"/>
        <v>92.260151881104505</v>
      </c>
      <c r="O48" s="90">
        <f t="shared" si="39"/>
        <v>122.75213207780955</v>
      </c>
      <c r="P48" s="90">
        <f t="shared" si="39"/>
        <v>163.32171172952562</v>
      </c>
      <c r="Q48" s="90">
        <f t="shared" si="39"/>
        <v>217.29953745613383</v>
      </c>
      <c r="R48" s="90">
        <f t="shared" si="39"/>
        <v>289.11703458538608</v>
      </c>
      <c r="U48" s="3"/>
    </row>
    <row r="49" spans="1:21" x14ac:dyDescent="0.2">
      <c r="A49" s="112" t="s">
        <v>178</v>
      </c>
      <c r="B49" t="s">
        <v>181</v>
      </c>
      <c r="C49" s="104">
        <v>0.25</v>
      </c>
      <c r="D49" s="107">
        <v>75</v>
      </c>
      <c r="G49" s="2">
        <f>($C$49*G31)</f>
        <v>100</v>
      </c>
      <c r="H49" s="2">
        <f t="shared" ref="H49:R49" si="40">($C$49*H31)</f>
        <v>16.631250000000001</v>
      </c>
      <c r="I49" s="2">
        <f t="shared" si="40"/>
        <v>22.127878125000002</v>
      </c>
      <c r="J49" s="2">
        <f t="shared" si="40"/>
        <v>29.441141845312504</v>
      </c>
      <c r="K49" s="2">
        <f t="shared" si="40"/>
        <v>39.171439225188287</v>
      </c>
      <c r="L49" s="2">
        <f t="shared" si="40"/>
        <v>52.117599889113016</v>
      </c>
      <c r="M49" s="2">
        <f t="shared" si="40"/>
        <v>69.342466652464864</v>
      </c>
      <c r="N49" s="2">
        <f t="shared" si="40"/>
        <v>92.260151881104505</v>
      </c>
      <c r="O49" s="2">
        <f t="shared" si="40"/>
        <v>122.75213207780955</v>
      </c>
      <c r="P49" s="2">
        <f t="shared" si="40"/>
        <v>163.32171172952562</v>
      </c>
      <c r="Q49" s="2">
        <f t="shared" si="40"/>
        <v>217.29953745613383</v>
      </c>
      <c r="R49" s="2">
        <f t="shared" si="40"/>
        <v>289.11703458538608</v>
      </c>
      <c r="S49" s="2">
        <f>($C$49*S35)</f>
        <v>0</v>
      </c>
      <c r="T49" s="2">
        <f>($C$49*T35)</f>
        <v>0</v>
      </c>
      <c r="U49" s="3"/>
    </row>
    <row r="50" spans="1:21" x14ac:dyDescent="0.2">
      <c r="A50" s="112" t="s">
        <v>179</v>
      </c>
      <c r="B50" t="s">
        <v>181</v>
      </c>
      <c r="C50" s="104">
        <v>0.1</v>
      </c>
      <c r="D50" s="107">
        <v>125</v>
      </c>
      <c r="G50" s="2">
        <f>($C$50*G31)</f>
        <v>40</v>
      </c>
      <c r="H50" s="2">
        <f t="shared" ref="H50:R50" si="41">($C$50*H31)</f>
        <v>6.6525000000000007</v>
      </c>
      <c r="I50" s="2">
        <f t="shared" si="41"/>
        <v>8.8511512500000009</v>
      </c>
      <c r="J50" s="2">
        <f t="shared" si="41"/>
        <v>11.776456738125002</v>
      </c>
      <c r="K50" s="2">
        <f t="shared" si="41"/>
        <v>15.668575690075315</v>
      </c>
      <c r="L50" s="2">
        <f t="shared" si="41"/>
        <v>20.847039955645208</v>
      </c>
      <c r="M50" s="2">
        <f t="shared" si="41"/>
        <v>27.736986660985949</v>
      </c>
      <c r="N50" s="2">
        <f t="shared" si="41"/>
        <v>36.904060752441801</v>
      </c>
      <c r="O50" s="2">
        <f t="shared" si="41"/>
        <v>49.100852831123824</v>
      </c>
      <c r="P50" s="2">
        <f t="shared" si="41"/>
        <v>65.328684691810253</v>
      </c>
      <c r="Q50" s="2">
        <f t="shared" si="41"/>
        <v>86.919814982453545</v>
      </c>
      <c r="R50" s="2">
        <f t="shared" si="41"/>
        <v>115.64681383415444</v>
      </c>
      <c r="U50" s="3"/>
    </row>
    <row r="51" spans="1:21" x14ac:dyDescent="0.2">
      <c r="C51" s="1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U51" s="3"/>
    </row>
    <row r="52" spans="1:21" x14ac:dyDescent="0.2">
      <c r="A52" s="6" t="s">
        <v>155</v>
      </c>
      <c r="C52" s="1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21" x14ac:dyDescent="0.2">
      <c r="A53" t="s">
        <v>160</v>
      </c>
      <c r="B53" t="s">
        <v>161</v>
      </c>
      <c r="C53" s="108">
        <v>0.37569444444444444</v>
      </c>
      <c r="G53" s="2">
        <f>G9+G31</f>
        <v>850</v>
      </c>
      <c r="H53" s="2">
        <f>H9+H31</f>
        <v>665.25</v>
      </c>
      <c r="I53" s="2">
        <f>I9+I31</f>
        <v>885.11512500000003</v>
      </c>
      <c r="J53" s="2">
        <f>J9+J31</f>
        <v>1177.6456738125003</v>
      </c>
      <c r="K53" s="2">
        <f>K9+K31</f>
        <v>1566.8575690075315</v>
      </c>
      <c r="L53" s="2">
        <f>L9+L31</f>
        <v>2084.7039955645205</v>
      </c>
      <c r="M53" s="2">
        <f>M9+M31</f>
        <v>2773.6986660985949</v>
      </c>
      <c r="N53" s="2">
        <f>N9+N31</f>
        <v>3690.406075244181</v>
      </c>
      <c r="O53" s="2">
        <f>O9+O31</f>
        <v>4910.085283112383</v>
      </c>
      <c r="P53" s="2">
        <f>P9+P31</f>
        <v>6532.8684691810249</v>
      </c>
      <c r="Q53" s="2">
        <f>Q9+Q31</f>
        <v>8691.9814982453536</v>
      </c>
      <c r="R53" s="2">
        <f>R9+R31</f>
        <v>11564.681383415444</v>
      </c>
      <c r="S53" s="2">
        <f>S9+S31</f>
        <v>0</v>
      </c>
      <c r="T53" s="2">
        <f>T9+T31</f>
        <v>0</v>
      </c>
      <c r="U53" s="3"/>
    </row>
    <row r="54" spans="1:21" x14ac:dyDescent="0.2">
      <c r="A54" t="s">
        <v>167</v>
      </c>
      <c r="C54" s="108"/>
      <c r="G54" s="2">
        <f>G53</f>
        <v>850</v>
      </c>
      <c r="H54" s="2">
        <f>H53+G54</f>
        <v>1515.25</v>
      </c>
      <c r="I54" s="2">
        <f t="shared" ref="I54:R54" si="42">I53+H54</f>
        <v>2400.3651250000003</v>
      </c>
      <c r="J54" s="2">
        <f t="shared" si="42"/>
        <v>3578.0107988125005</v>
      </c>
      <c r="K54" s="2">
        <f t="shared" si="42"/>
        <v>5144.8683678200323</v>
      </c>
      <c r="L54" s="2">
        <f t="shared" si="42"/>
        <v>7229.5723633845528</v>
      </c>
      <c r="M54" s="2">
        <f t="shared" si="42"/>
        <v>10003.271029483149</v>
      </c>
      <c r="N54" s="2">
        <f t="shared" si="42"/>
        <v>13693.677104727329</v>
      </c>
      <c r="O54" s="2">
        <f t="shared" si="42"/>
        <v>18603.762387839713</v>
      </c>
      <c r="P54" s="2">
        <f t="shared" si="42"/>
        <v>25136.63085702074</v>
      </c>
      <c r="Q54" s="2">
        <f t="shared" si="42"/>
        <v>33828.612355266094</v>
      </c>
      <c r="R54" s="2">
        <f t="shared" si="42"/>
        <v>45393.293738681539</v>
      </c>
      <c r="U54" s="3"/>
    </row>
    <row r="55" spans="1:21" x14ac:dyDescent="0.2">
      <c r="A55" t="s">
        <v>256</v>
      </c>
      <c r="C55" s="108"/>
      <c r="D55" s="127"/>
      <c r="E55" s="127"/>
      <c r="F55" s="130"/>
      <c r="G55" s="2">
        <f>(G34+G12)</f>
        <v>4062.5</v>
      </c>
      <c r="H55" s="2">
        <f>G55+H12+H34</f>
        <v>10503.268749999999</v>
      </c>
      <c r="I55" s="2">
        <f>H55+I12+I34</f>
        <v>20108.324071874998</v>
      </c>
      <c r="J55" s="2">
        <f>I55+J12+J34</f>
        <v>33923.462677629686</v>
      </c>
      <c r="K55" s="2">
        <f>J55+K12+K34</f>
        <v>53340.117092586297</v>
      </c>
      <c r="L55" s="2">
        <f>K55+L12+L34</f>
        <v>80209.588291686086</v>
      </c>
      <c r="M55" s="2">
        <f>L55+M12+M34</f>
        <v>116995.03222208834</v>
      </c>
      <c r="N55" s="2">
        <f>M55+N12+N34</f>
        <v>166973.67787148853</v>
      </c>
      <c r="O55" s="2">
        <f>N55+O12+O34</f>
        <v>234505.8784080155</v>
      </c>
      <c r="P55" s="2">
        <f>O55+P12+P34</f>
        <v>325393.08372186462</v>
      </c>
      <c r="Q55" s="2">
        <f>P55+Q12+Q34</f>
        <v>447354.12289194087</v>
      </c>
      <c r="R55" s="2">
        <f>Q55+R12+R34</f>
        <v>610658.89800772734</v>
      </c>
      <c r="U55" s="3"/>
    </row>
    <row r="56" spans="1:21" x14ac:dyDescent="0.2">
      <c r="A56" t="s">
        <v>262</v>
      </c>
      <c r="C56" s="108"/>
      <c r="G56" s="2">
        <f>G35+G13</f>
        <v>1050</v>
      </c>
      <c r="H56" s="2">
        <f>H35+H13</f>
        <v>279.40500000000003</v>
      </c>
      <c r="I56" s="2">
        <f>I35+I13</f>
        <v>371.74835250000001</v>
      </c>
      <c r="J56" s="2">
        <f>J35+J13</f>
        <v>494.61118300125008</v>
      </c>
      <c r="K56" s="2">
        <f>K35+K13</f>
        <v>658.08017898316325</v>
      </c>
      <c r="L56" s="2">
        <f>L35+L13</f>
        <v>875.57567813709875</v>
      </c>
      <c r="M56" s="2">
        <f>M35+M13</f>
        <v>1164.9534397614098</v>
      </c>
      <c r="N56" s="2">
        <f>N35+N13</f>
        <v>1549.9705516025558</v>
      </c>
      <c r="O56" s="2">
        <f>O35+O13</f>
        <v>2062.2358189072006</v>
      </c>
      <c r="P56" s="2">
        <f>P35+P13</f>
        <v>2743.8047570560307</v>
      </c>
      <c r="Q56" s="2">
        <f>Q35+Q13</f>
        <v>3650.6322292630489</v>
      </c>
      <c r="R56" s="2">
        <f>R35+R13</f>
        <v>4857.1661810344867</v>
      </c>
      <c r="U56" s="3"/>
    </row>
    <row r="57" spans="1:21" x14ac:dyDescent="0.2">
      <c r="A57" t="s">
        <v>244</v>
      </c>
      <c r="C57" s="108"/>
      <c r="G57" s="2">
        <f>G33+G11</f>
        <v>552.5</v>
      </c>
      <c r="H57" s="2">
        <f>H33+H11</f>
        <v>984.91249999999991</v>
      </c>
      <c r="I57" s="2">
        <f>I33+I11</f>
        <v>1560.2373312500001</v>
      </c>
      <c r="J57" s="2">
        <f>J33+J11</f>
        <v>2325.7070192281249</v>
      </c>
      <c r="K57" s="2">
        <f>K33+K11</f>
        <v>3344.1644390830206</v>
      </c>
      <c r="L57" s="2">
        <f>L33+L11</f>
        <v>4699.2220361999598</v>
      </c>
      <c r="M57" s="2">
        <f>M33+M11</f>
        <v>6502.1261691640466</v>
      </c>
      <c r="N57" s="2">
        <f>N33+N11</f>
        <v>8900.8901180727644</v>
      </c>
      <c r="O57" s="2">
        <f>O33+O11</f>
        <v>12092.445552095813</v>
      </c>
      <c r="P57" s="2">
        <f>P33+P11</f>
        <v>16338.810057063478</v>
      </c>
      <c r="Q57" s="2">
        <f>Q33+Q11</f>
        <v>21988.598030922956</v>
      </c>
      <c r="R57" s="2">
        <f>R33+R11</f>
        <v>29505.640930142996</v>
      </c>
      <c r="S57" s="2">
        <f>S33+S11</f>
        <v>0</v>
      </c>
      <c r="T57" s="2">
        <f>T33+T11</f>
        <v>0</v>
      </c>
      <c r="U57" s="3"/>
    </row>
    <row r="58" spans="1:21" x14ac:dyDescent="0.2">
      <c r="A58" t="s">
        <v>224</v>
      </c>
      <c r="B58" t="s">
        <v>240</v>
      </c>
      <c r="C58" s="108"/>
      <c r="G58" s="2">
        <f>G36+G14</f>
        <v>440</v>
      </c>
      <c r="H58" s="2">
        <f>H36+H14</f>
        <v>492.28500000000003</v>
      </c>
      <c r="I58" s="2">
        <f>I36+I14</f>
        <v>654.98519250000004</v>
      </c>
      <c r="J58" s="2">
        <f>J36+J14</f>
        <v>871.45779862125016</v>
      </c>
      <c r="K58" s="2">
        <f>K36+K14</f>
        <v>1159.4746010655733</v>
      </c>
      <c r="L58" s="2">
        <f>L36+L14</f>
        <v>1542.6809567177454</v>
      </c>
      <c r="M58" s="2">
        <f>M36+M14</f>
        <v>2052.5370129129601</v>
      </c>
      <c r="N58" s="2">
        <f>N36+N14</f>
        <v>2730.9004956806943</v>
      </c>
      <c r="O58" s="2">
        <f>O36+O14</f>
        <v>3633.4631095031632</v>
      </c>
      <c r="P58" s="2">
        <f>P36+P14</f>
        <v>4834.3226671939592</v>
      </c>
      <c r="Q58" s="2">
        <f>Q36+Q14</f>
        <v>6432.0663087015619</v>
      </c>
      <c r="R58" s="2">
        <f>R36+R14</f>
        <v>8557.8642237274289</v>
      </c>
      <c r="S58" s="2"/>
      <c r="T58" s="2"/>
      <c r="U58" s="3"/>
    </row>
    <row r="59" spans="1:21" x14ac:dyDescent="0.2">
      <c r="A59" t="s">
        <v>255</v>
      </c>
      <c r="C59" s="108"/>
      <c r="G59" s="2">
        <f>G58</f>
        <v>440</v>
      </c>
      <c r="H59" s="2">
        <f>G59+H58</f>
        <v>932.28500000000008</v>
      </c>
      <c r="I59" s="2">
        <f>H59+I58</f>
        <v>1587.2701925000001</v>
      </c>
      <c r="J59" s="2">
        <f>I59+J58</f>
        <v>2458.7279911212504</v>
      </c>
      <c r="K59" s="2">
        <f>J59+K58</f>
        <v>3618.2025921868235</v>
      </c>
      <c r="L59" s="2">
        <f>K59+L58</f>
        <v>5160.8835489045687</v>
      </c>
      <c r="M59" s="2">
        <f>L59+M58</f>
        <v>7213.4205618175292</v>
      </c>
      <c r="N59" s="2">
        <f>M59+N58</f>
        <v>9944.321057498224</v>
      </c>
      <c r="O59" s="2">
        <f>N59+O58</f>
        <v>13577.784167001388</v>
      </c>
      <c r="P59" s="2">
        <f>O59+P58</f>
        <v>18412.106834195347</v>
      </c>
      <c r="Q59" s="2">
        <f>P59+Q58</f>
        <v>24844.173142896907</v>
      </c>
      <c r="R59" s="2">
        <f>Q59+R58</f>
        <v>33402.037366624339</v>
      </c>
      <c r="S59" s="2">
        <f>R59+S58</f>
        <v>33402.037366624339</v>
      </c>
      <c r="T59" s="2">
        <f>S59+T58</f>
        <v>33402.037366624339</v>
      </c>
      <c r="U59" s="3"/>
    </row>
    <row r="60" spans="1:21" x14ac:dyDescent="0.2">
      <c r="A60" t="s">
        <v>214</v>
      </c>
      <c r="C60" s="108"/>
      <c r="G60" s="2">
        <f>G15+G37</f>
        <v>812.5</v>
      </c>
      <c r="H60" s="2">
        <f>H15+H37</f>
        <v>1288.1537499999999</v>
      </c>
      <c r="I60" s="2">
        <f>I15+I37</f>
        <v>1921.0110643750002</v>
      </c>
      <c r="J60" s="2">
        <f>J15+J37</f>
        <v>2763.0277211509379</v>
      </c>
      <c r="K60" s="2">
        <f>K15+K37</f>
        <v>3883.3308829913231</v>
      </c>
      <c r="L60" s="2">
        <f>L15+L37</f>
        <v>5373.8942398199551</v>
      </c>
      <c r="M60" s="2">
        <f>M15+M37</f>
        <v>7357.0887860804514</v>
      </c>
      <c r="N60" s="2">
        <f>N15+N37</f>
        <v>9995.729129880041</v>
      </c>
      <c r="O60" s="2">
        <f>O15+O37</f>
        <v>13506.440107305396</v>
      </c>
      <c r="P60" s="2">
        <f>P15+P37</f>
        <v>18177.441062769827</v>
      </c>
      <c r="Q60" s="2">
        <f>Q15+Q37</f>
        <v>24392.207834015251</v>
      </c>
      <c r="R60" s="2">
        <f>R15+R37</f>
        <v>32660.955023157298</v>
      </c>
      <c r="S60" s="2">
        <f>S15+S37</f>
        <v>0</v>
      </c>
      <c r="T60" s="2">
        <f>T15+T37</f>
        <v>0</v>
      </c>
      <c r="U60" s="3"/>
    </row>
    <row r="61" spans="1:21" x14ac:dyDescent="0.2">
      <c r="A61" t="s">
        <v>215</v>
      </c>
      <c r="C61" s="108"/>
      <c r="G61" s="2">
        <f>G16+G38</f>
        <v>1105</v>
      </c>
      <c r="H61" s="2">
        <f>H16+H38</f>
        <v>1969.8249999999998</v>
      </c>
      <c r="I61" s="2">
        <f>I16+I38</f>
        <v>3120.4746625000002</v>
      </c>
      <c r="J61" s="2">
        <f>J16+J38</f>
        <v>4651.4140384562506</v>
      </c>
      <c r="K61" s="2">
        <f>K16+K38</f>
        <v>6688.3288781660422</v>
      </c>
      <c r="L61" s="2">
        <f>L16+L38</f>
        <v>9398.4440723999196</v>
      </c>
      <c r="M61" s="2">
        <f>M16+M38</f>
        <v>13004.252338328095</v>
      </c>
      <c r="N61" s="2">
        <f>N16+N38</f>
        <v>17801.780236145529</v>
      </c>
      <c r="O61" s="2">
        <f>O16+O38</f>
        <v>24184.891104191629</v>
      </c>
      <c r="P61" s="2">
        <f>P16+P38</f>
        <v>32677.620114126956</v>
      </c>
      <c r="Q61" s="2">
        <f>Q16+Q38</f>
        <v>43977.196061845912</v>
      </c>
      <c r="R61" s="2">
        <f>R16+R38</f>
        <v>59011.281860285992</v>
      </c>
      <c r="S61" s="2">
        <f>S16+S38</f>
        <v>0</v>
      </c>
      <c r="T61" s="2">
        <f>T16+T38</f>
        <v>0</v>
      </c>
      <c r="U61" s="3"/>
    </row>
    <row r="62" spans="1:21" x14ac:dyDescent="0.2">
      <c r="A62" t="s">
        <v>218</v>
      </c>
      <c r="C62" s="108"/>
      <c r="G62" s="2">
        <f>G39+G17</f>
        <v>812.5</v>
      </c>
      <c r="H62" s="2">
        <f>H39+H17</f>
        <v>1288.1537499999999</v>
      </c>
      <c r="I62" s="2">
        <f>I39+I17</f>
        <v>1921.0110643750002</v>
      </c>
      <c r="J62" s="2">
        <f>J39+J17</f>
        <v>2763.0277211509379</v>
      </c>
      <c r="K62" s="2">
        <f>K39+K17</f>
        <v>3883.3308829913231</v>
      </c>
      <c r="L62" s="2">
        <f>L39+L17</f>
        <v>5373.8942398199551</v>
      </c>
      <c r="M62" s="2">
        <f>M39+M17</f>
        <v>7357.0887860804514</v>
      </c>
      <c r="N62" s="2">
        <f>N39+N17</f>
        <v>9995.729129880041</v>
      </c>
      <c r="O62" s="2">
        <f>O39+O17</f>
        <v>13506.440107305396</v>
      </c>
      <c r="P62" s="2">
        <f>P39+P17</f>
        <v>18177.441062769827</v>
      </c>
      <c r="Q62" s="2">
        <f>Q39+Q17</f>
        <v>24392.207834015251</v>
      </c>
      <c r="R62" s="2">
        <f>R39+R17</f>
        <v>32660.955023157298</v>
      </c>
      <c r="S62" s="2">
        <f>S39+S17</f>
        <v>0</v>
      </c>
      <c r="T62" s="2">
        <f>T39+T17</f>
        <v>0</v>
      </c>
      <c r="U62" s="3"/>
    </row>
    <row r="63" spans="1:21" x14ac:dyDescent="0.2">
      <c r="A63" t="s">
        <v>223</v>
      </c>
      <c r="C63" s="108"/>
      <c r="G63" s="2">
        <f>G40+G18</f>
        <v>812.5</v>
      </c>
      <c r="H63" s="2">
        <f>H40+H18</f>
        <v>1288.1537499999999</v>
      </c>
      <c r="I63" s="2">
        <f>I40+I18</f>
        <v>1921.0110643750002</v>
      </c>
      <c r="J63" s="2">
        <f>J40+J18</f>
        <v>2763.0277211509379</v>
      </c>
      <c r="K63" s="2">
        <f>K40+K18</f>
        <v>3883.3308829913231</v>
      </c>
      <c r="L63" s="2">
        <f>L40+L18</f>
        <v>5373.8942398199551</v>
      </c>
      <c r="M63" s="2">
        <f>M40+M18</f>
        <v>7357.0887860804514</v>
      </c>
      <c r="N63" s="2">
        <f>N40+N18</f>
        <v>9995.729129880041</v>
      </c>
      <c r="O63" s="2">
        <f>O40+O18</f>
        <v>13506.440107305396</v>
      </c>
      <c r="P63" s="2">
        <f>P40+P18</f>
        <v>18177.441062769827</v>
      </c>
      <c r="Q63" s="2">
        <f>Q40+Q18</f>
        <v>24392.207834015251</v>
      </c>
      <c r="R63" s="2">
        <f>R40+R18</f>
        <v>32660.955023157298</v>
      </c>
      <c r="S63" s="2">
        <f>S40+S18</f>
        <v>0</v>
      </c>
      <c r="T63" s="2">
        <f>T40+T18</f>
        <v>0</v>
      </c>
      <c r="U63" s="3"/>
    </row>
    <row r="64" spans="1:21" x14ac:dyDescent="0.2">
      <c r="A64" t="s">
        <v>246</v>
      </c>
      <c r="C64" s="108"/>
      <c r="G64" s="2">
        <f>G41</f>
        <v>520</v>
      </c>
      <c r="H64" s="2">
        <f t="shared" ref="H64:T64" si="43">H41</f>
        <v>606.48249999999996</v>
      </c>
      <c r="I64" s="2">
        <f t="shared" si="43"/>
        <v>721.54746625000007</v>
      </c>
      <c r="J64" s="2">
        <f t="shared" si="43"/>
        <v>874.64140384562495</v>
      </c>
      <c r="K64" s="2">
        <f t="shared" si="43"/>
        <v>1078.3328878166042</v>
      </c>
      <c r="L64" s="2">
        <f t="shared" si="43"/>
        <v>1349.3444072399918</v>
      </c>
      <c r="M64" s="2">
        <f t="shared" si="43"/>
        <v>1709.925233832809</v>
      </c>
      <c r="N64" s="2">
        <f t="shared" si="43"/>
        <v>2189.6780236145528</v>
      </c>
      <c r="O64" s="2">
        <f t="shared" si="43"/>
        <v>2827.9891104191624</v>
      </c>
      <c r="P64" s="2">
        <f t="shared" si="43"/>
        <v>3677.2620114126958</v>
      </c>
      <c r="Q64" s="2">
        <f t="shared" si="43"/>
        <v>4807.2196061845916</v>
      </c>
      <c r="R64" s="2">
        <f t="shared" si="43"/>
        <v>6310.6281860285999</v>
      </c>
      <c r="S64" s="2">
        <f t="shared" si="43"/>
        <v>0</v>
      </c>
      <c r="T64" s="2">
        <f t="shared" si="43"/>
        <v>0</v>
      </c>
      <c r="U64" s="3"/>
    </row>
    <row r="65" spans="1:21" x14ac:dyDescent="0.2">
      <c r="A65" t="s">
        <v>254</v>
      </c>
      <c r="C65" s="108"/>
      <c r="G65" s="2">
        <f>G43</f>
        <v>78</v>
      </c>
      <c r="H65" s="2">
        <f t="shared" ref="H65:T65" si="44">H43</f>
        <v>90.972374999999985</v>
      </c>
      <c r="I65" s="2">
        <f t="shared" si="44"/>
        <v>108.23211993749999</v>
      </c>
      <c r="J65" s="2">
        <f t="shared" si="44"/>
        <v>131.19621057684373</v>
      </c>
      <c r="K65" s="2">
        <f t="shared" si="44"/>
        <v>161.74993317249061</v>
      </c>
      <c r="L65" s="2">
        <f t="shared" si="44"/>
        <v>202.40166108599877</v>
      </c>
      <c r="M65" s="2">
        <f t="shared" si="44"/>
        <v>256.48878507492134</v>
      </c>
      <c r="N65" s="2">
        <f t="shared" si="44"/>
        <v>328.45170354218283</v>
      </c>
      <c r="O65" s="2">
        <f t="shared" si="44"/>
        <v>424.1983665628743</v>
      </c>
      <c r="P65" s="2">
        <f t="shared" si="44"/>
        <v>551.58930171190423</v>
      </c>
      <c r="Q65" s="2">
        <f t="shared" si="44"/>
        <v>721.0829409276887</v>
      </c>
      <c r="R65" s="2">
        <f t="shared" si="44"/>
        <v>946.59422790428982</v>
      </c>
      <c r="S65" s="2">
        <f t="shared" si="44"/>
        <v>0</v>
      </c>
      <c r="T65" s="2">
        <f t="shared" si="44"/>
        <v>0</v>
      </c>
      <c r="U65" s="3"/>
    </row>
    <row r="66" spans="1:21" x14ac:dyDescent="0.2">
      <c r="C66" s="108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3"/>
    </row>
    <row r="67" spans="1:21" x14ac:dyDescent="0.2">
      <c r="A67" t="s">
        <v>265</v>
      </c>
      <c r="C67" s="108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U67" s="3"/>
    </row>
    <row r="68" spans="1:21" x14ac:dyDescent="0.2">
      <c r="A68" s="112" t="s">
        <v>180</v>
      </c>
      <c r="B68" t="s">
        <v>263</v>
      </c>
      <c r="C68" s="108"/>
      <c r="G68" s="2">
        <f>G47</f>
        <v>160</v>
      </c>
      <c r="H68" s="2">
        <f>G68+H47</f>
        <v>186.61</v>
      </c>
      <c r="I68" s="2">
        <f>H68+I47</f>
        <v>222.01460500000002</v>
      </c>
      <c r="J68" s="2">
        <f>I68+J47</f>
        <v>269.12043195250004</v>
      </c>
      <c r="K68" s="2">
        <f>J68+K47</f>
        <v>331.7947347128013</v>
      </c>
      <c r="L68" s="2">
        <f>K68+L47</f>
        <v>415.18289453538216</v>
      </c>
      <c r="M68" s="2">
        <f>L68+M47</f>
        <v>526.1308411793259</v>
      </c>
      <c r="N68" s="2">
        <f>M68+N47</f>
        <v>673.74708418909313</v>
      </c>
      <c r="O68" s="2">
        <f>N68+O47</f>
        <v>870.15049551358845</v>
      </c>
      <c r="P68" s="2">
        <f>O68+P47</f>
        <v>1131.4652342808295</v>
      </c>
      <c r="Q68" s="2">
        <f>P68+Q47</f>
        <v>1479.1444942106436</v>
      </c>
      <c r="R68" s="2">
        <f>Q68+R47</f>
        <v>1941.7317495472614</v>
      </c>
      <c r="S68" s="2">
        <f>R68+S47</f>
        <v>1941.7317495472614</v>
      </c>
      <c r="T68" s="2">
        <f>S68+T47</f>
        <v>1941.7317495472614</v>
      </c>
      <c r="U68" s="3"/>
    </row>
    <row r="69" spans="1:21" x14ac:dyDescent="0.2">
      <c r="A69" s="113" t="s">
        <v>177</v>
      </c>
      <c r="B69" t="s">
        <v>263</v>
      </c>
      <c r="C69" s="108"/>
      <c r="G69" s="2">
        <f>G48</f>
        <v>100</v>
      </c>
      <c r="H69" s="2">
        <f>G69+H48</f>
        <v>116.63124999999999</v>
      </c>
      <c r="I69" s="2">
        <f>H69+I48</f>
        <v>138.75912812499999</v>
      </c>
      <c r="J69" s="2">
        <f>I69+J48</f>
        <v>168.20026997031249</v>
      </c>
      <c r="K69" s="2">
        <f>J69+K48</f>
        <v>207.37170919550078</v>
      </c>
      <c r="L69" s="2">
        <f>K69+L48</f>
        <v>259.48930908461381</v>
      </c>
      <c r="M69" s="2">
        <f>L69+M48</f>
        <v>328.83177573707866</v>
      </c>
      <c r="N69" s="2">
        <f>M69+N48</f>
        <v>421.09192761818315</v>
      </c>
      <c r="O69" s="2">
        <f>N69+O48</f>
        <v>543.84405969599266</v>
      </c>
      <c r="P69" s="2">
        <f>O69+P48</f>
        <v>707.1657714255183</v>
      </c>
      <c r="Q69" s="2">
        <f>P69+Q48</f>
        <v>924.46530888165216</v>
      </c>
      <c r="R69" s="2">
        <f>Q69+R48</f>
        <v>1213.5823434670383</v>
      </c>
      <c r="S69" s="2">
        <f>R69+S48</f>
        <v>1213.5823434670383</v>
      </c>
      <c r="T69" s="2">
        <f>S69+T48</f>
        <v>1213.5823434670383</v>
      </c>
      <c r="U69" s="3"/>
    </row>
    <row r="70" spans="1:21" x14ac:dyDescent="0.2">
      <c r="A70" s="112" t="s">
        <v>178</v>
      </c>
      <c r="B70" t="s">
        <v>263</v>
      </c>
      <c r="C70" s="108"/>
      <c r="G70" s="2">
        <f>G49</f>
        <v>100</v>
      </c>
      <c r="H70" s="2">
        <f>G70+H49</f>
        <v>116.63124999999999</v>
      </c>
      <c r="I70" s="2">
        <f>H70+I49</f>
        <v>138.75912812499999</v>
      </c>
      <c r="J70" s="2">
        <f>I70+J49</f>
        <v>168.20026997031249</v>
      </c>
      <c r="K70" s="2">
        <f>J70+K49</f>
        <v>207.37170919550078</v>
      </c>
      <c r="L70" s="2">
        <f>K70+L49</f>
        <v>259.48930908461381</v>
      </c>
      <c r="M70" s="2">
        <f>L70+M49</f>
        <v>328.83177573707866</v>
      </c>
      <c r="N70" s="2">
        <f>M70+N49</f>
        <v>421.09192761818315</v>
      </c>
      <c r="O70" s="2">
        <f>N70+O49</f>
        <v>543.84405969599266</v>
      </c>
      <c r="P70" s="2">
        <f>O70+P49</f>
        <v>707.1657714255183</v>
      </c>
      <c r="Q70" s="2">
        <f>P70+Q49</f>
        <v>924.46530888165216</v>
      </c>
      <c r="R70" s="2">
        <f>Q70+R49</f>
        <v>1213.5823434670383</v>
      </c>
      <c r="S70" s="2">
        <f>R70+S49</f>
        <v>1213.5823434670383</v>
      </c>
      <c r="T70" s="2">
        <f>S70+T49</f>
        <v>1213.5823434670383</v>
      </c>
      <c r="U70" s="3"/>
    </row>
    <row r="71" spans="1:21" x14ac:dyDescent="0.2">
      <c r="A71" s="112" t="s">
        <v>179</v>
      </c>
      <c r="B71" t="s">
        <v>263</v>
      </c>
      <c r="C71" s="108"/>
      <c r="G71" s="2">
        <f>G50</f>
        <v>40</v>
      </c>
      <c r="H71" s="2">
        <f>G71+H50</f>
        <v>46.652500000000003</v>
      </c>
      <c r="I71" s="2">
        <f>H71+I50</f>
        <v>55.503651250000004</v>
      </c>
      <c r="J71" s="2">
        <f>I71+J50</f>
        <v>67.28010798812501</v>
      </c>
      <c r="K71" s="2">
        <f>J71+K50</f>
        <v>82.948683678200325</v>
      </c>
      <c r="L71" s="2">
        <f>K71+L50</f>
        <v>103.79572363384554</v>
      </c>
      <c r="M71" s="2">
        <f>L71+M50</f>
        <v>131.53271029483147</v>
      </c>
      <c r="N71" s="2">
        <f>M71+N50</f>
        <v>168.43677104727328</v>
      </c>
      <c r="O71" s="2">
        <f>N71+O50</f>
        <v>217.53762387839711</v>
      </c>
      <c r="P71" s="2">
        <f>O71+P50</f>
        <v>282.86630857020737</v>
      </c>
      <c r="Q71" s="2">
        <f>P71+Q50</f>
        <v>369.78612355266091</v>
      </c>
      <c r="R71" s="2">
        <f>Q71+R50</f>
        <v>485.43293738681535</v>
      </c>
      <c r="S71" s="2">
        <f>R71+S50</f>
        <v>485.43293738681535</v>
      </c>
      <c r="T71" s="2">
        <f>S71+T50</f>
        <v>485.43293738681535</v>
      </c>
      <c r="U71" s="3"/>
    </row>
    <row r="72" spans="1:21" x14ac:dyDescent="0.2">
      <c r="C72" s="108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U72" s="3"/>
    </row>
    <row r="73" spans="1:21" x14ac:dyDescent="0.2">
      <c r="A73" t="s">
        <v>264</v>
      </c>
      <c r="C73" s="108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U73" s="3"/>
    </row>
    <row r="74" spans="1:21" x14ac:dyDescent="0.2">
      <c r="A74" s="112" t="s">
        <v>180</v>
      </c>
      <c r="B74" t="s">
        <v>203</v>
      </c>
      <c r="C74" s="102">
        <v>0.65</v>
      </c>
      <c r="G74" s="2">
        <f>G68*$C$74</f>
        <v>104</v>
      </c>
      <c r="H74" s="2">
        <f t="shared" ref="H74:R74" si="45">H68*$C$74</f>
        <v>121.29650000000001</v>
      </c>
      <c r="I74" s="2">
        <f t="shared" si="45"/>
        <v>144.30949325</v>
      </c>
      <c r="J74" s="2">
        <f t="shared" si="45"/>
        <v>174.92828076912502</v>
      </c>
      <c r="K74" s="2">
        <f t="shared" si="45"/>
        <v>215.66657756332086</v>
      </c>
      <c r="L74" s="2">
        <f t="shared" si="45"/>
        <v>269.86888144799843</v>
      </c>
      <c r="M74" s="2">
        <f t="shared" si="45"/>
        <v>341.98504676656182</v>
      </c>
      <c r="N74" s="2">
        <f t="shared" si="45"/>
        <v>437.93560472291057</v>
      </c>
      <c r="O74" s="2">
        <f t="shared" si="45"/>
        <v>565.59782208383251</v>
      </c>
      <c r="P74" s="2">
        <f t="shared" si="45"/>
        <v>735.4524022825392</v>
      </c>
      <c r="Q74" s="2">
        <f t="shared" si="45"/>
        <v>961.44392123691841</v>
      </c>
      <c r="R74" s="2">
        <f t="shared" si="45"/>
        <v>1262.1256372057201</v>
      </c>
      <c r="U74" s="3"/>
    </row>
    <row r="75" spans="1:21" x14ac:dyDescent="0.2">
      <c r="A75" s="113" t="s">
        <v>177</v>
      </c>
      <c r="B75" t="s">
        <v>203</v>
      </c>
      <c r="C75" s="102"/>
      <c r="G75" s="2">
        <f t="shared" ref="G75:R77" si="46">G69*$C$74</f>
        <v>65</v>
      </c>
      <c r="H75" s="2">
        <f t="shared" si="46"/>
        <v>75.810312499999995</v>
      </c>
      <c r="I75" s="2">
        <f t="shared" si="46"/>
        <v>90.193433281249995</v>
      </c>
      <c r="J75" s="2">
        <f t="shared" si="46"/>
        <v>109.33017548070312</v>
      </c>
      <c r="K75" s="2">
        <f t="shared" si="46"/>
        <v>134.79161097707552</v>
      </c>
      <c r="L75" s="2">
        <f t="shared" si="46"/>
        <v>168.66805090499898</v>
      </c>
      <c r="M75" s="2">
        <f t="shared" si="46"/>
        <v>213.74065422910112</v>
      </c>
      <c r="N75" s="2">
        <f t="shared" si="46"/>
        <v>273.70975295181904</v>
      </c>
      <c r="O75" s="2">
        <f t="shared" si="46"/>
        <v>353.49863880239525</v>
      </c>
      <c r="P75" s="2">
        <f t="shared" si="46"/>
        <v>459.65775142658691</v>
      </c>
      <c r="Q75" s="2">
        <f t="shared" si="46"/>
        <v>600.90245077307395</v>
      </c>
      <c r="R75" s="2">
        <f t="shared" si="46"/>
        <v>788.82852325357487</v>
      </c>
      <c r="U75" s="3"/>
    </row>
    <row r="76" spans="1:21" x14ac:dyDescent="0.2">
      <c r="A76" s="112" t="s">
        <v>178</v>
      </c>
      <c r="B76" t="s">
        <v>203</v>
      </c>
      <c r="C76" s="102"/>
      <c r="G76" s="2">
        <f t="shared" si="46"/>
        <v>65</v>
      </c>
      <c r="H76" s="2">
        <f t="shared" si="46"/>
        <v>75.810312499999995</v>
      </c>
      <c r="I76" s="2">
        <f t="shared" si="46"/>
        <v>90.193433281249995</v>
      </c>
      <c r="J76" s="2">
        <f t="shared" si="46"/>
        <v>109.33017548070312</v>
      </c>
      <c r="K76" s="2">
        <f t="shared" si="46"/>
        <v>134.79161097707552</v>
      </c>
      <c r="L76" s="2">
        <f t="shared" si="46"/>
        <v>168.66805090499898</v>
      </c>
      <c r="M76" s="2">
        <f t="shared" si="46"/>
        <v>213.74065422910112</v>
      </c>
      <c r="N76" s="2">
        <f t="shared" si="46"/>
        <v>273.70975295181904</v>
      </c>
      <c r="O76" s="2">
        <f t="shared" si="46"/>
        <v>353.49863880239525</v>
      </c>
      <c r="P76" s="2">
        <f t="shared" si="46"/>
        <v>459.65775142658691</v>
      </c>
      <c r="Q76" s="2">
        <f t="shared" si="46"/>
        <v>600.90245077307395</v>
      </c>
      <c r="R76" s="2">
        <f t="shared" si="46"/>
        <v>788.82852325357487</v>
      </c>
      <c r="U76" s="3"/>
    </row>
    <row r="77" spans="1:21" x14ac:dyDescent="0.2">
      <c r="A77" s="112" t="s">
        <v>179</v>
      </c>
      <c r="B77" t="s">
        <v>203</v>
      </c>
      <c r="C77" s="102"/>
      <c r="G77" s="2">
        <f t="shared" si="46"/>
        <v>26</v>
      </c>
      <c r="H77" s="2">
        <f t="shared" si="46"/>
        <v>30.324125000000002</v>
      </c>
      <c r="I77" s="2">
        <f t="shared" si="46"/>
        <v>36.077373312500001</v>
      </c>
      <c r="J77" s="2">
        <f t="shared" si="46"/>
        <v>43.732070192281256</v>
      </c>
      <c r="K77" s="2">
        <f t="shared" si="46"/>
        <v>53.916644390830214</v>
      </c>
      <c r="L77" s="2">
        <f t="shared" si="46"/>
        <v>67.467220361999608</v>
      </c>
      <c r="M77" s="2">
        <f t="shared" si="46"/>
        <v>85.496261691640456</v>
      </c>
      <c r="N77" s="2">
        <f t="shared" si="46"/>
        <v>109.48390118072764</v>
      </c>
      <c r="O77" s="2">
        <f t="shared" si="46"/>
        <v>141.39945552095813</v>
      </c>
      <c r="P77" s="2">
        <f t="shared" si="46"/>
        <v>183.8631005706348</v>
      </c>
      <c r="Q77" s="2">
        <f t="shared" si="46"/>
        <v>240.3609803092296</v>
      </c>
      <c r="R77" s="2">
        <f t="shared" si="46"/>
        <v>315.53140930143002</v>
      </c>
      <c r="U77" s="3"/>
    </row>
    <row r="78" spans="1:21" x14ac:dyDescent="0.2"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21" s="103" customFormat="1" x14ac:dyDescent="0.2">
      <c r="A79" s="105" t="s">
        <v>118</v>
      </c>
      <c r="C79" s="104"/>
    </row>
    <row r="80" spans="1:21" x14ac:dyDescent="0.2">
      <c r="A80" t="s">
        <v>119</v>
      </c>
      <c r="C80" s="106"/>
    </row>
    <row r="81" spans="1:20" x14ac:dyDescent="0.2">
      <c r="B81" t="s">
        <v>120</v>
      </c>
      <c r="C81" s="107">
        <v>2500</v>
      </c>
      <c r="G81" s="119" t="s">
        <v>189</v>
      </c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</row>
    <row r="82" spans="1:20" x14ac:dyDescent="0.2">
      <c r="B82" t="s">
        <v>121</v>
      </c>
      <c r="C82" s="107">
        <v>12500</v>
      </c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</row>
    <row r="83" spans="1:20" x14ac:dyDescent="0.2">
      <c r="B83" t="s">
        <v>122</v>
      </c>
      <c r="C83" s="107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</row>
    <row r="84" spans="1:20" x14ac:dyDescent="0.2">
      <c r="B84" t="s">
        <v>123</v>
      </c>
      <c r="C84" s="107">
        <v>12000</v>
      </c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</row>
    <row r="85" spans="1:20" x14ac:dyDescent="0.2">
      <c r="B85" t="s">
        <v>124</v>
      </c>
      <c r="C85" s="107">
        <v>20000</v>
      </c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</row>
    <row r="86" spans="1:20" x14ac:dyDescent="0.2">
      <c r="B86" t="s">
        <v>125</v>
      </c>
      <c r="C86" s="107">
        <v>55000</v>
      </c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</row>
    <row r="87" spans="1:20" x14ac:dyDescent="0.2">
      <c r="B87" t="s">
        <v>126</v>
      </c>
      <c r="C87" s="107">
        <v>5000</v>
      </c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</row>
    <row r="88" spans="1:20" x14ac:dyDescent="0.2">
      <c r="B88" s="109" t="s">
        <v>202</v>
      </c>
      <c r="C88" s="118">
        <v>87000</v>
      </c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</row>
    <row r="89" spans="1:20" x14ac:dyDescent="0.2"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</row>
    <row r="90" spans="1:20" x14ac:dyDescent="0.2">
      <c r="B90" t="s">
        <v>190</v>
      </c>
      <c r="C90" s="116">
        <f>SUM(C81:C88)</f>
        <v>194000</v>
      </c>
      <c r="D90">
        <v>12</v>
      </c>
      <c r="G90" s="2">
        <f t="shared" ref="G90:R90" si="47">$C$90/$D$90</f>
        <v>16166.666666666666</v>
      </c>
      <c r="H90" s="2">
        <f t="shared" si="47"/>
        <v>16166.666666666666</v>
      </c>
      <c r="I90" s="2">
        <f t="shared" si="47"/>
        <v>16166.666666666666</v>
      </c>
      <c r="J90" s="2">
        <f t="shared" si="47"/>
        <v>16166.666666666666</v>
      </c>
      <c r="K90" s="2">
        <f t="shared" si="47"/>
        <v>16166.666666666666</v>
      </c>
      <c r="L90" s="2">
        <f t="shared" si="47"/>
        <v>16166.666666666666</v>
      </c>
      <c r="M90" s="2">
        <f t="shared" si="47"/>
        <v>16166.666666666666</v>
      </c>
      <c r="N90" s="2">
        <f t="shared" si="47"/>
        <v>16166.666666666666</v>
      </c>
      <c r="O90" s="2">
        <f t="shared" si="47"/>
        <v>16166.666666666666</v>
      </c>
      <c r="P90" s="2">
        <f t="shared" si="47"/>
        <v>16166.666666666666</v>
      </c>
      <c r="Q90" s="2">
        <f t="shared" si="47"/>
        <v>16166.666666666666</v>
      </c>
      <c r="R90" s="2">
        <f t="shared" si="47"/>
        <v>16166.666666666666</v>
      </c>
    </row>
    <row r="92" spans="1:20" x14ac:dyDescent="0.2">
      <c r="A92" t="s">
        <v>127</v>
      </c>
    </row>
    <row r="93" spans="1:20" x14ac:dyDescent="0.2">
      <c r="B93" t="s">
        <v>128</v>
      </c>
      <c r="C93" s="107">
        <v>500</v>
      </c>
      <c r="G93" s="107">
        <v>500</v>
      </c>
      <c r="H93" s="107">
        <v>500</v>
      </c>
      <c r="I93" s="107">
        <v>500</v>
      </c>
      <c r="J93" s="107">
        <v>500</v>
      </c>
      <c r="K93" s="107">
        <v>500</v>
      </c>
      <c r="L93" s="107">
        <v>500</v>
      </c>
      <c r="M93" s="107">
        <v>500</v>
      </c>
      <c r="N93" s="107">
        <v>500</v>
      </c>
      <c r="O93" s="107">
        <v>500</v>
      </c>
      <c r="P93" s="107">
        <v>500</v>
      </c>
      <c r="Q93" s="107">
        <v>500</v>
      </c>
      <c r="R93" s="107">
        <v>500</v>
      </c>
    </row>
    <row r="94" spans="1:20" x14ac:dyDescent="0.2">
      <c r="B94" t="s">
        <v>129</v>
      </c>
      <c r="C94" s="107">
        <v>4000</v>
      </c>
      <c r="G94" s="107">
        <v>4000</v>
      </c>
      <c r="H94" s="107">
        <v>4000</v>
      </c>
      <c r="I94" s="107">
        <v>4000</v>
      </c>
      <c r="J94" s="107">
        <v>4000</v>
      </c>
      <c r="K94" s="107">
        <v>4000</v>
      </c>
      <c r="L94" s="107">
        <v>4000</v>
      </c>
      <c r="M94" s="107">
        <v>4000</v>
      </c>
      <c r="N94" s="107">
        <v>4000</v>
      </c>
      <c r="O94" s="107">
        <v>4000</v>
      </c>
      <c r="P94" s="107">
        <v>4000</v>
      </c>
      <c r="Q94" s="107">
        <v>4000</v>
      </c>
      <c r="R94" s="107">
        <v>4000</v>
      </c>
    </row>
    <row r="95" spans="1:20" x14ac:dyDescent="0.2">
      <c r="B95" t="s">
        <v>130</v>
      </c>
      <c r="C95" s="107">
        <v>5650</v>
      </c>
      <c r="G95" s="107">
        <v>5650</v>
      </c>
      <c r="H95" s="107">
        <v>5650</v>
      </c>
      <c r="I95" s="107">
        <v>5650</v>
      </c>
      <c r="J95" s="107">
        <v>5650</v>
      </c>
      <c r="K95" s="107">
        <v>5650</v>
      </c>
      <c r="L95" s="107">
        <v>5650</v>
      </c>
      <c r="M95" s="107">
        <v>5650</v>
      </c>
      <c r="N95" s="107">
        <v>5650</v>
      </c>
      <c r="O95" s="107">
        <v>5650</v>
      </c>
      <c r="P95" s="107">
        <v>5650</v>
      </c>
      <c r="Q95" s="107">
        <v>5650</v>
      </c>
      <c r="R95" s="107">
        <v>5650</v>
      </c>
    </row>
    <row r="96" spans="1:20" x14ac:dyDescent="0.2">
      <c r="B96" t="s">
        <v>131</v>
      </c>
      <c r="C96" s="107">
        <v>1350</v>
      </c>
      <c r="G96" s="107">
        <v>1350</v>
      </c>
      <c r="H96" s="107">
        <v>1350</v>
      </c>
      <c r="I96" s="107">
        <v>1350</v>
      </c>
      <c r="J96" s="107">
        <v>1350</v>
      </c>
      <c r="K96" s="107">
        <v>1350</v>
      </c>
      <c r="L96" s="107">
        <v>1350</v>
      </c>
      <c r="M96" s="107">
        <v>1350</v>
      </c>
      <c r="N96" s="107">
        <v>1350</v>
      </c>
      <c r="O96" s="107">
        <v>1350</v>
      </c>
      <c r="P96" s="107">
        <v>1350</v>
      </c>
      <c r="Q96" s="107">
        <v>1350</v>
      </c>
      <c r="R96" s="107">
        <v>1350</v>
      </c>
    </row>
    <row r="97" spans="1:20" x14ac:dyDescent="0.2">
      <c r="B97" t="s">
        <v>132</v>
      </c>
      <c r="C97" s="107">
        <v>1750</v>
      </c>
      <c r="G97" s="107">
        <v>1750</v>
      </c>
      <c r="H97" s="107">
        <v>1750</v>
      </c>
      <c r="I97" s="107">
        <v>1750</v>
      </c>
      <c r="J97" s="107">
        <v>1750</v>
      </c>
      <c r="K97" s="107">
        <v>1750</v>
      </c>
      <c r="L97" s="107">
        <v>1750</v>
      </c>
      <c r="M97" s="107">
        <v>1750</v>
      </c>
      <c r="N97" s="107">
        <v>1750</v>
      </c>
      <c r="O97" s="107">
        <v>1750</v>
      </c>
      <c r="P97" s="107">
        <v>1750</v>
      </c>
      <c r="Q97" s="107">
        <v>1750</v>
      </c>
      <c r="R97" s="107">
        <v>1750</v>
      </c>
    </row>
    <row r="98" spans="1:20" x14ac:dyDescent="0.2">
      <c r="B98" t="s">
        <v>133</v>
      </c>
      <c r="C98" s="107">
        <v>4000</v>
      </c>
      <c r="G98" s="107">
        <v>4000</v>
      </c>
      <c r="H98" s="107">
        <v>4000</v>
      </c>
      <c r="I98" s="107">
        <v>4000</v>
      </c>
      <c r="J98" s="107">
        <v>4000</v>
      </c>
      <c r="K98" s="107">
        <v>4000</v>
      </c>
      <c r="L98" s="107">
        <v>4000</v>
      </c>
      <c r="M98" s="107">
        <v>4000</v>
      </c>
      <c r="N98" s="107">
        <v>4000</v>
      </c>
      <c r="O98" s="107">
        <v>4000</v>
      </c>
      <c r="P98" s="107">
        <v>4000</v>
      </c>
      <c r="Q98" s="107">
        <v>4000</v>
      </c>
      <c r="R98" s="107">
        <v>4000</v>
      </c>
    </row>
    <row r="99" spans="1:20" x14ac:dyDescent="0.2">
      <c r="B99" t="s">
        <v>134</v>
      </c>
      <c r="C99" t="s">
        <v>135</v>
      </c>
    </row>
    <row r="100" spans="1:20" x14ac:dyDescent="0.2">
      <c r="B100" t="s">
        <v>136</v>
      </c>
      <c r="C100">
        <v>17250</v>
      </c>
    </row>
    <row r="101" spans="1:20" x14ac:dyDescent="0.2">
      <c r="A101" t="s">
        <v>149</v>
      </c>
    </row>
    <row r="102" spans="1:20" x14ac:dyDescent="0.2">
      <c r="B102" t="s">
        <v>137</v>
      </c>
      <c r="C102" s="106">
        <v>0.05</v>
      </c>
      <c r="D102" s="131" t="s">
        <v>168</v>
      </c>
      <c r="G102" s="2">
        <f>$C$102*G53</f>
        <v>42.5</v>
      </c>
      <c r="H102" s="2">
        <f t="shared" ref="H102:R102" si="48">$C$102*H53</f>
        <v>33.262500000000003</v>
      </c>
      <c r="I102" s="2">
        <f t="shared" si="48"/>
        <v>44.255756250000005</v>
      </c>
      <c r="J102" s="2">
        <f t="shared" si="48"/>
        <v>58.882283690625016</v>
      </c>
      <c r="K102" s="2">
        <f t="shared" si="48"/>
        <v>78.342878450376588</v>
      </c>
      <c r="L102" s="2">
        <f t="shared" si="48"/>
        <v>104.23519977822603</v>
      </c>
      <c r="M102" s="2">
        <f t="shared" si="48"/>
        <v>138.68493330492976</v>
      </c>
      <c r="N102" s="2">
        <f t="shared" si="48"/>
        <v>184.52030376220907</v>
      </c>
      <c r="O102" s="2">
        <f t="shared" si="48"/>
        <v>245.50426415561915</v>
      </c>
      <c r="P102" s="2">
        <f t="shared" si="48"/>
        <v>326.64342345905129</v>
      </c>
      <c r="Q102" s="2">
        <f t="shared" si="48"/>
        <v>434.59907491226772</v>
      </c>
      <c r="R102" s="2">
        <f t="shared" si="48"/>
        <v>578.23406917077216</v>
      </c>
    </row>
    <row r="103" spans="1:20" x14ac:dyDescent="0.2">
      <c r="B103" t="s">
        <v>138</v>
      </c>
      <c r="C103" s="106">
        <v>0.18</v>
      </c>
      <c r="D103" s="131" t="s">
        <v>266</v>
      </c>
      <c r="G103" s="2">
        <f>$C$103*G54</f>
        <v>153</v>
      </c>
      <c r="H103" s="2">
        <f t="shared" ref="H103:R103" si="49">$C$103*H54</f>
        <v>272.745</v>
      </c>
      <c r="I103" s="2">
        <f t="shared" si="49"/>
        <v>432.06572250000005</v>
      </c>
      <c r="J103" s="2">
        <f t="shared" si="49"/>
        <v>644.04194378625004</v>
      </c>
      <c r="K103" s="2">
        <f t="shared" si="49"/>
        <v>926.07630620760574</v>
      </c>
      <c r="L103" s="2">
        <f t="shared" si="49"/>
        <v>1301.3230254092196</v>
      </c>
      <c r="M103" s="2">
        <f t="shared" si="49"/>
        <v>1800.5887853069667</v>
      </c>
      <c r="N103" s="2">
        <f t="shared" si="49"/>
        <v>2464.8618788509189</v>
      </c>
      <c r="O103" s="2">
        <f t="shared" si="49"/>
        <v>3348.6772298111482</v>
      </c>
      <c r="P103" s="2">
        <f t="shared" si="49"/>
        <v>4524.5935542637335</v>
      </c>
      <c r="Q103" s="2">
        <f t="shared" si="49"/>
        <v>6089.1502239478968</v>
      </c>
      <c r="R103" s="2">
        <f t="shared" si="49"/>
        <v>8170.7928729626765</v>
      </c>
    </row>
    <row r="104" spans="1:20" x14ac:dyDescent="0.2">
      <c r="B104" t="s">
        <v>139</v>
      </c>
      <c r="C104" s="106">
        <v>0.25</v>
      </c>
      <c r="D104" s="131" t="s">
        <v>266</v>
      </c>
      <c r="G104" s="2">
        <f>$C$104*G54</f>
        <v>212.5</v>
      </c>
      <c r="H104" s="2">
        <f t="shared" ref="H104:R104" si="50">$C$104*H54</f>
        <v>378.8125</v>
      </c>
      <c r="I104" s="2">
        <f t="shared" si="50"/>
        <v>600.09128125000007</v>
      </c>
      <c r="J104" s="2">
        <f t="shared" si="50"/>
        <v>894.50269970312513</v>
      </c>
      <c r="K104" s="2">
        <f t="shared" si="50"/>
        <v>1286.2170919550081</v>
      </c>
      <c r="L104" s="2">
        <f t="shared" si="50"/>
        <v>1807.3930908461382</v>
      </c>
      <c r="M104" s="2">
        <f t="shared" si="50"/>
        <v>2500.8177573707871</v>
      </c>
      <c r="N104" s="2">
        <f t="shared" si="50"/>
        <v>3423.4192761818322</v>
      </c>
      <c r="O104" s="2">
        <f t="shared" si="50"/>
        <v>4650.9405969599284</v>
      </c>
      <c r="P104" s="2">
        <f t="shared" si="50"/>
        <v>6284.1577142551851</v>
      </c>
      <c r="Q104" s="2">
        <f t="shared" si="50"/>
        <v>8457.1530888165235</v>
      </c>
      <c r="R104" s="2">
        <f t="shared" si="50"/>
        <v>11348.323434670385</v>
      </c>
    </row>
    <row r="105" spans="1:20" x14ac:dyDescent="0.2">
      <c r="A105" t="s">
        <v>203</v>
      </c>
      <c r="B105" t="s">
        <v>140</v>
      </c>
      <c r="C105" s="106">
        <v>0.25</v>
      </c>
      <c r="D105" s="131" t="s">
        <v>162</v>
      </c>
      <c r="G105" s="2">
        <f>$C$105*G57</f>
        <v>138.125</v>
      </c>
      <c r="H105" s="2">
        <f t="shared" ref="H105:R105" si="51">$C$105*H57</f>
        <v>246.22812499999998</v>
      </c>
      <c r="I105" s="2">
        <f t="shared" si="51"/>
        <v>390.05933281250003</v>
      </c>
      <c r="J105" s="2">
        <f t="shared" si="51"/>
        <v>581.42675480703122</v>
      </c>
      <c r="K105" s="2">
        <f t="shared" si="51"/>
        <v>836.04110977075516</v>
      </c>
      <c r="L105" s="2">
        <f t="shared" si="51"/>
        <v>1174.80550904999</v>
      </c>
      <c r="M105" s="2">
        <f t="shared" si="51"/>
        <v>1625.5315422910116</v>
      </c>
      <c r="N105" s="2">
        <f t="shared" si="51"/>
        <v>2225.2225295181911</v>
      </c>
      <c r="O105" s="2">
        <f t="shared" si="51"/>
        <v>3023.1113880239532</v>
      </c>
      <c r="P105" s="2">
        <f t="shared" si="51"/>
        <v>4084.7025142658695</v>
      </c>
      <c r="Q105" s="2">
        <f t="shared" si="51"/>
        <v>5497.1495077307391</v>
      </c>
      <c r="R105" s="2">
        <f t="shared" si="51"/>
        <v>7376.4102325357489</v>
      </c>
    </row>
    <row r="106" spans="1:20" x14ac:dyDescent="0.2">
      <c r="A106" t="s">
        <v>204</v>
      </c>
      <c r="B106" t="s">
        <v>141</v>
      </c>
      <c r="C106" s="106">
        <v>15</v>
      </c>
      <c r="D106" s="131" t="s">
        <v>253</v>
      </c>
      <c r="G106" s="2">
        <f>$C$106*G65</f>
        <v>1170</v>
      </c>
      <c r="H106" s="2">
        <f t="shared" ref="H106:R106" si="52">$C$106*H65</f>
        <v>1364.5856249999997</v>
      </c>
      <c r="I106" s="2">
        <f t="shared" si="52"/>
        <v>1623.4817990624997</v>
      </c>
      <c r="J106" s="2">
        <f t="shared" si="52"/>
        <v>1967.9431586526559</v>
      </c>
      <c r="K106" s="2">
        <f t="shared" si="52"/>
        <v>2426.2489975873591</v>
      </c>
      <c r="L106" s="2">
        <f t="shared" si="52"/>
        <v>3036.0249162899813</v>
      </c>
      <c r="M106" s="2">
        <f t="shared" si="52"/>
        <v>3847.33177612382</v>
      </c>
      <c r="N106" s="2">
        <f t="shared" si="52"/>
        <v>4926.7755531327421</v>
      </c>
      <c r="O106" s="2">
        <f t="shared" si="52"/>
        <v>6362.9754984431147</v>
      </c>
      <c r="P106" s="2">
        <f t="shared" si="52"/>
        <v>8273.8395256785625</v>
      </c>
      <c r="Q106" s="2">
        <f t="shared" si="52"/>
        <v>10816.244113915331</v>
      </c>
      <c r="R106" s="2">
        <f t="shared" si="52"/>
        <v>14198.913418564347</v>
      </c>
    </row>
    <row r="107" spans="1:20" x14ac:dyDescent="0.2">
      <c r="B107" t="s">
        <v>142</v>
      </c>
      <c r="C107" s="106">
        <v>0.05</v>
      </c>
      <c r="D107" t="s">
        <v>168</v>
      </c>
      <c r="G107" s="2">
        <f>$C$107*G53</f>
        <v>42.5</v>
      </c>
      <c r="H107" s="2">
        <f t="shared" ref="H107:R107" si="53">$C$107*H53</f>
        <v>33.262500000000003</v>
      </c>
      <c r="I107" s="2">
        <f t="shared" si="53"/>
        <v>44.255756250000005</v>
      </c>
      <c r="J107" s="2">
        <f t="shared" si="53"/>
        <v>58.882283690625016</v>
      </c>
      <c r="K107" s="2">
        <f t="shared" si="53"/>
        <v>78.342878450376588</v>
      </c>
      <c r="L107" s="2">
        <f t="shared" si="53"/>
        <v>104.23519977822603</v>
      </c>
      <c r="M107" s="2">
        <f t="shared" si="53"/>
        <v>138.68493330492976</v>
      </c>
      <c r="N107" s="2">
        <f t="shared" si="53"/>
        <v>184.52030376220907</v>
      </c>
      <c r="O107" s="2">
        <f t="shared" si="53"/>
        <v>245.50426415561915</v>
      </c>
      <c r="P107" s="2">
        <f t="shared" si="53"/>
        <v>326.64342345905129</v>
      </c>
      <c r="Q107" s="2">
        <f t="shared" si="53"/>
        <v>434.59907491226772</v>
      </c>
      <c r="R107" s="2">
        <f t="shared" si="53"/>
        <v>578.23406917077216</v>
      </c>
    </row>
    <row r="108" spans="1:20" x14ac:dyDescent="0.2">
      <c r="A108" t="s">
        <v>205</v>
      </c>
      <c r="B108" t="s">
        <v>143</v>
      </c>
      <c r="C108" s="106">
        <v>0.03</v>
      </c>
      <c r="D108" s="110" t="s">
        <v>162</v>
      </c>
      <c r="F108" t="s">
        <v>206</v>
      </c>
      <c r="G108" s="2">
        <f>$C$108*G57</f>
        <v>16.574999999999999</v>
      </c>
      <c r="H108" s="2">
        <f t="shared" ref="H108:R108" si="54">$C$108*H57</f>
        <v>29.547374999999995</v>
      </c>
      <c r="I108" s="2">
        <f t="shared" si="54"/>
        <v>46.807119937500005</v>
      </c>
      <c r="J108" s="2">
        <f t="shared" si="54"/>
        <v>69.771210576843743</v>
      </c>
      <c r="K108" s="2">
        <f t="shared" si="54"/>
        <v>100.32493317249062</v>
      </c>
      <c r="L108" s="2">
        <f t="shared" si="54"/>
        <v>140.97666108599878</v>
      </c>
      <c r="M108" s="2">
        <f t="shared" si="54"/>
        <v>195.06378507492138</v>
      </c>
      <c r="N108" s="2">
        <f t="shared" si="54"/>
        <v>267.02670354218293</v>
      </c>
      <c r="O108" s="2">
        <f t="shared" si="54"/>
        <v>362.77336656287434</v>
      </c>
      <c r="P108" s="2">
        <f t="shared" si="54"/>
        <v>490.16430171190433</v>
      </c>
      <c r="Q108" s="2">
        <f t="shared" si="54"/>
        <v>659.65794092768863</v>
      </c>
      <c r="R108" s="2">
        <f t="shared" si="54"/>
        <v>885.16922790428987</v>
      </c>
      <c r="S108" s="2" t="e">
        <f>$C$108*#REF!</f>
        <v>#REF!</v>
      </c>
      <c r="T108" s="2" t="e">
        <f>$C$108*#REF!</f>
        <v>#REF!</v>
      </c>
    </row>
    <row r="109" spans="1:20" x14ac:dyDescent="0.2">
      <c r="B109" t="s">
        <v>144</v>
      </c>
      <c r="C109" s="106">
        <v>0.03</v>
      </c>
      <c r="D109" t="s">
        <v>163</v>
      </c>
      <c r="F109" t="s">
        <v>207</v>
      </c>
      <c r="G109" s="2">
        <f>$C$109*G61</f>
        <v>33.15</v>
      </c>
      <c r="H109" s="2">
        <f t="shared" ref="H109:T109" si="55">$C$109*H61</f>
        <v>59.094749999999991</v>
      </c>
      <c r="I109" s="2">
        <f t="shared" si="55"/>
        <v>93.61423987500001</v>
      </c>
      <c r="J109" s="2">
        <f t="shared" si="55"/>
        <v>139.54242115368751</v>
      </c>
      <c r="K109" s="2">
        <f t="shared" si="55"/>
        <v>200.64986634498126</v>
      </c>
      <c r="L109" s="2">
        <f t="shared" si="55"/>
        <v>281.95332217199757</v>
      </c>
      <c r="M109" s="2">
        <f t="shared" si="55"/>
        <v>390.12757014984282</v>
      </c>
      <c r="N109" s="2">
        <f t="shared" si="55"/>
        <v>534.05340708436586</v>
      </c>
      <c r="O109" s="2">
        <f t="shared" si="55"/>
        <v>725.5467331257488</v>
      </c>
      <c r="P109" s="2">
        <f t="shared" si="55"/>
        <v>980.32860342380866</v>
      </c>
      <c r="Q109" s="2">
        <f t="shared" si="55"/>
        <v>1319.3158818553773</v>
      </c>
      <c r="R109" s="2">
        <f t="shared" si="55"/>
        <v>1770.3384558085797</v>
      </c>
      <c r="S109" s="2">
        <f t="shared" si="55"/>
        <v>0</v>
      </c>
      <c r="T109" s="2">
        <f t="shared" si="55"/>
        <v>0</v>
      </c>
    </row>
    <row r="110" spans="1:20" x14ac:dyDescent="0.2">
      <c r="B110" t="s">
        <v>145</v>
      </c>
      <c r="C110" s="106">
        <v>0.02</v>
      </c>
      <c r="D110" t="s">
        <v>164</v>
      </c>
      <c r="F110" t="s">
        <v>210</v>
      </c>
      <c r="G110" s="2">
        <f>$C$110*G54</f>
        <v>17</v>
      </c>
      <c r="H110" s="2">
        <f t="shared" ref="H110:R110" si="56">$C$110*H54</f>
        <v>30.305</v>
      </c>
      <c r="I110" s="2">
        <f t="shared" si="56"/>
        <v>48.007302500000009</v>
      </c>
      <c r="J110" s="2">
        <f t="shared" si="56"/>
        <v>71.560215976250007</v>
      </c>
      <c r="K110" s="2">
        <f t="shared" si="56"/>
        <v>102.89736735640065</v>
      </c>
      <c r="L110" s="2">
        <f t="shared" si="56"/>
        <v>144.59144726769105</v>
      </c>
      <c r="M110" s="2">
        <f t="shared" si="56"/>
        <v>200.06542058966298</v>
      </c>
      <c r="N110" s="2">
        <f t="shared" si="56"/>
        <v>273.87354209454656</v>
      </c>
      <c r="O110" s="2">
        <f t="shared" si="56"/>
        <v>372.07524775679428</v>
      </c>
      <c r="P110" s="2">
        <f t="shared" si="56"/>
        <v>502.73261714041479</v>
      </c>
      <c r="Q110" s="2">
        <f t="shared" si="56"/>
        <v>676.57224710532194</v>
      </c>
      <c r="R110" s="2">
        <f t="shared" si="56"/>
        <v>907.86587477363082</v>
      </c>
    </row>
    <row r="111" spans="1:20" x14ac:dyDescent="0.2">
      <c r="B111" t="s">
        <v>146</v>
      </c>
      <c r="C111" s="106">
        <v>0.03</v>
      </c>
      <c r="D111" t="s">
        <v>163</v>
      </c>
      <c r="F111" t="s">
        <v>208</v>
      </c>
      <c r="G111" s="2">
        <f>$C$111*G63</f>
        <v>24.375</v>
      </c>
      <c r="H111" s="2">
        <f t="shared" ref="H111:R111" si="57">$C$111*H63</f>
        <v>38.644612499999994</v>
      </c>
      <c r="I111" s="2">
        <f t="shared" si="57"/>
        <v>57.630331931250005</v>
      </c>
      <c r="J111" s="2">
        <f t="shared" si="57"/>
        <v>82.890831634528126</v>
      </c>
      <c r="K111" s="2">
        <f t="shared" si="57"/>
        <v>116.49992648973969</v>
      </c>
      <c r="L111" s="2">
        <f t="shared" si="57"/>
        <v>161.21682719459864</v>
      </c>
      <c r="M111" s="2">
        <f t="shared" si="57"/>
        <v>220.71266358241354</v>
      </c>
      <c r="N111" s="2">
        <f t="shared" si="57"/>
        <v>299.87187389640121</v>
      </c>
      <c r="O111" s="2">
        <f t="shared" si="57"/>
        <v>405.19320321916189</v>
      </c>
      <c r="P111" s="2">
        <f t="shared" si="57"/>
        <v>545.32323188309476</v>
      </c>
      <c r="Q111" s="2">
        <f t="shared" si="57"/>
        <v>731.76623502045754</v>
      </c>
      <c r="R111" s="2">
        <f t="shared" si="57"/>
        <v>979.82865069471893</v>
      </c>
      <c r="S111" s="2">
        <f t="shared" ref="S111:T111" si="58">$C$111*S63</f>
        <v>0</v>
      </c>
      <c r="T111" s="2">
        <f t="shared" si="58"/>
        <v>0</v>
      </c>
    </row>
    <row r="112" spans="1:20" x14ac:dyDescent="0.2">
      <c r="B112" t="s">
        <v>147</v>
      </c>
      <c r="C112" s="106">
        <v>0.06</v>
      </c>
      <c r="D112" t="s">
        <v>163</v>
      </c>
      <c r="F112" t="s">
        <v>208</v>
      </c>
      <c r="G112" s="2">
        <f>$C$112*G63</f>
        <v>48.75</v>
      </c>
      <c r="H112" s="2">
        <f t="shared" ref="H112:R112" si="59">$C$112*H63</f>
        <v>77.289224999999988</v>
      </c>
      <c r="I112" s="2">
        <f t="shared" si="59"/>
        <v>115.26066386250001</v>
      </c>
      <c r="J112" s="2">
        <f t="shared" si="59"/>
        <v>165.78166326905625</v>
      </c>
      <c r="K112" s="2">
        <f t="shared" si="59"/>
        <v>232.99985297947939</v>
      </c>
      <c r="L112" s="2">
        <f t="shared" si="59"/>
        <v>322.43365438919727</v>
      </c>
      <c r="M112" s="2">
        <f t="shared" si="59"/>
        <v>441.42532716482708</v>
      </c>
      <c r="N112" s="2">
        <f t="shared" si="59"/>
        <v>599.74374779280242</v>
      </c>
      <c r="O112" s="2">
        <f t="shared" si="59"/>
        <v>810.38640643832377</v>
      </c>
      <c r="P112" s="2">
        <f t="shared" si="59"/>
        <v>1090.6464637661895</v>
      </c>
      <c r="Q112" s="2">
        <f t="shared" si="59"/>
        <v>1463.5324700409151</v>
      </c>
      <c r="R112" s="2">
        <f t="shared" si="59"/>
        <v>1959.6573013894379</v>
      </c>
    </row>
    <row r="113" spans="1:18" x14ac:dyDescent="0.2">
      <c r="B113" t="s">
        <v>148</v>
      </c>
      <c r="C113" s="106">
        <v>0.05</v>
      </c>
      <c r="D113" t="s">
        <v>165</v>
      </c>
      <c r="F113" t="s">
        <v>211</v>
      </c>
      <c r="G113" s="2">
        <f>$C$113*G58</f>
        <v>22</v>
      </c>
      <c r="H113" s="2">
        <f t="shared" ref="H113:R113" si="60">$C$113*H58</f>
        <v>24.614250000000002</v>
      </c>
      <c r="I113" s="2">
        <f t="shared" si="60"/>
        <v>32.749259625000001</v>
      </c>
      <c r="J113" s="2">
        <f t="shared" si="60"/>
        <v>43.572889931062512</v>
      </c>
      <c r="K113" s="2">
        <f t="shared" si="60"/>
        <v>57.973730053278672</v>
      </c>
      <c r="L113" s="2">
        <f t="shared" si="60"/>
        <v>77.134047835887273</v>
      </c>
      <c r="M113" s="2">
        <f t="shared" si="60"/>
        <v>102.62685064564801</v>
      </c>
      <c r="N113" s="2">
        <f t="shared" si="60"/>
        <v>136.54502478403472</v>
      </c>
      <c r="O113" s="2">
        <f t="shared" si="60"/>
        <v>181.67315547515818</v>
      </c>
      <c r="P113" s="2">
        <f t="shared" si="60"/>
        <v>241.71613335969798</v>
      </c>
      <c r="Q113" s="2">
        <f t="shared" si="60"/>
        <v>321.60331543507812</v>
      </c>
      <c r="R113" s="2">
        <f t="shared" si="60"/>
        <v>427.89321118637145</v>
      </c>
    </row>
    <row r="114" spans="1:18" x14ac:dyDescent="0.2">
      <c r="A114" t="s">
        <v>150</v>
      </c>
    </row>
    <row r="115" spans="1:18" x14ac:dyDescent="0.2">
      <c r="B115" t="s">
        <v>151</v>
      </c>
      <c r="C115" s="106">
        <v>2</v>
      </c>
      <c r="D115" t="s">
        <v>169</v>
      </c>
      <c r="F115" t="s">
        <v>212</v>
      </c>
      <c r="G115" s="2">
        <f>$C$115*G56</f>
        <v>2100</v>
      </c>
      <c r="H115" s="2">
        <f>$C$115*H56</f>
        <v>558.81000000000006</v>
      </c>
      <c r="I115" s="2">
        <f>$C$115*I56</f>
        <v>743.49670500000002</v>
      </c>
      <c r="J115" s="2">
        <f>$C$115*J56</f>
        <v>989.22236600250017</v>
      </c>
      <c r="K115" s="2">
        <f>$C$115*K56</f>
        <v>1316.1603579663265</v>
      </c>
      <c r="L115" s="2">
        <f>$C$115*L56</f>
        <v>1751.1513562741975</v>
      </c>
      <c r="M115" s="2">
        <f>$C$115*M56</f>
        <v>2329.9068795228195</v>
      </c>
      <c r="N115" s="2">
        <f t="shared" ref="N115:R115" si="61">$C$115*N56</f>
        <v>3099.9411032051116</v>
      </c>
      <c r="O115" s="2">
        <f t="shared" si="61"/>
        <v>4124.4716378144012</v>
      </c>
      <c r="P115" s="2">
        <f t="shared" si="61"/>
        <v>5487.6095141120613</v>
      </c>
      <c r="Q115" s="2">
        <f t="shared" si="61"/>
        <v>7301.2644585260978</v>
      </c>
      <c r="R115" s="2">
        <f t="shared" si="61"/>
        <v>9714.3323620689735</v>
      </c>
    </row>
    <row r="116" spans="1:18" x14ac:dyDescent="0.2">
      <c r="B116" t="s">
        <v>152</v>
      </c>
      <c r="C116" s="106">
        <v>1.9</v>
      </c>
      <c r="P116" s="2"/>
      <c r="Q116" s="2"/>
      <c r="R116" s="2"/>
    </row>
    <row r="117" spans="1:18" x14ac:dyDescent="0.2">
      <c r="B117" t="s">
        <v>153</v>
      </c>
      <c r="C117" s="106">
        <v>1.8</v>
      </c>
    </row>
    <row r="118" spans="1:18" x14ac:dyDescent="0.2">
      <c r="B118" t="s">
        <v>154</v>
      </c>
      <c r="C118" s="106">
        <v>1.6</v>
      </c>
    </row>
    <row r="120" spans="1:18" x14ac:dyDescent="0.2">
      <c r="A120" s="105" t="s">
        <v>173</v>
      </c>
      <c r="B120" s="103"/>
      <c r="C120" s="103"/>
      <c r="D120" s="103"/>
      <c r="E120" s="103"/>
      <c r="F120" s="103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</row>
    <row r="121" spans="1:18" s="103" customFormat="1" x14ac:dyDescent="0.2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</row>
    <row r="122" spans="1:18" x14ac:dyDescent="0.2">
      <c r="A122" t="s">
        <v>28</v>
      </c>
      <c r="B122" t="s">
        <v>174</v>
      </c>
      <c r="C122" s="1">
        <v>2</v>
      </c>
      <c r="D122" s="106"/>
    </row>
    <row r="123" spans="1:18" x14ac:dyDescent="0.2">
      <c r="A123" t="s">
        <v>172</v>
      </c>
    </row>
    <row r="124" spans="1:18" x14ac:dyDescent="0.2">
      <c r="A124" s="6" t="s">
        <v>96</v>
      </c>
    </row>
    <row r="125" spans="1:18" x14ac:dyDescent="0.2">
      <c r="B125" t="s">
        <v>175</v>
      </c>
      <c r="G125" s="2">
        <f>(G13*$C$115)*$C$122</f>
        <v>360</v>
      </c>
      <c r="H125" s="2">
        <f t="shared" ref="H125:R125" si="62">(H13*$C$115)*$C$122</f>
        <v>478.98</v>
      </c>
      <c r="I125" s="2">
        <f t="shared" si="62"/>
        <v>637.28289000000007</v>
      </c>
      <c r="J125" s="2">
        <f t="shared" si="62"/>
        <v>847.90488514500021</v>
      </c>
      <c r="K125" s="2">
        <f t="shared" si="62"/>
        <v>1128.1374496854228</v>
      </c>
      <c r="L125" s="2">
        <f t="shared" si="62"/>
        <v>1500.986876806455</v>
      </c>
      <c r="M125" s="2">
        <f t="shared" si="62"/>
        <v>1997.0630395909884</v>
      </c>
      <c r="N125" s="2">
        <f t="shared" si="62"/>
        <v>2657.0923741758106</v>
      </c>
      <c r="O125" s="2">
        <f t="shared" si="62"/>
        <v>3535.2614038409156</v>
      </c>
      <c r="P125" s="2">
        <f t="shared" si="62"/>
        <v>4703.6652978103384</v>
      </c>
      <c r="Q125" s="2">
        <f t="shared" si="62"/>
        <v>6258.2266787366552</v>
      </c>
      <c r="R125" s="2">
        <f t="shared" si="62"/>
        <v>8326.5705960591204</v>
      </c>
    </row>
    <row r="126" spans="1:18" x14ac:dyDescent="0.2">
      <c r="A126" s="6"/>
      <c r="B126" t="s">
        <v>267</v>
      </c>
      <c r="C126">
        <v>1.5</v>
      </c>
      <c r="D126" t="s">
        <v>268</v>
      </c>
      <c r="G126" s="2">
        <f>$C$126*G15</f>
        <v>438.75</v>
      </c>
      <c r="H126" s="2">
        <f t="shared" ref="H126:R126" si="63">$C$126*H15</f>
        <v>1022.506875</v>
      </c>
      <c r="I126" s="2">
        <f t="shared" si="63"/>
        <v>1799.1953971875</v>
      </c>
      <c r="J126" s="2">
        <f t="shared" si="63"/>
        <v>2832.5794759579694</v>
      </c>
      <c r="K126" s="2">
        <f t="shared" si="63"/>
        <v>4207.4969927620787</v>
      </c>
      <c r="L126" s="2">
        <f t="shared" si="63"/>
        <v>6036.8247488699453</v>
      </c>
      <c r="M126" s="2">
        <f t="shared" si="63"/>
        <v>8470.745328371464</v>
      </c>
      <c r="N126" s="2">
        <f t="shared" si="63"/>
        <v>11709.076659398232</v>
      </c>
      <c r="O126" s="2">
        <f t="shared" si="63"/>
        <v>16017.67649532935</v>
      </c>
      <c r="P126" s="2">
        <f t="shared" si="63"/>
        <v>21750.268577035695</v>
      </c>
      <c r="Q126" s="2">
        <f t="shared" si="63"/>
        <v>29377.482341745992</v>
      </c>
      <c r="R126" s="2">
        <f t="shared" si="63"/>
        <v>39525.490255693046</v>
      </c>
    </row>
    <row r="127" spans="1:18" x14ac:dyDescent="0.2">
      <c r="A127" s="6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 x14ac:dyDescent="0.2">
      <c r="A128" s="6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24" x14ac:dyDescent="0.2">
      <c r="A129" s="6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24" x14ac:dyDescent="0.2">
      <c r="A130" s="6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24" x14ac:dyDescent="0.2">
      <c r="A131" s="6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24" x14ac:dyDescent="0.2">
      <c r="S132" s="2">
        <f>($C$116*S13)*$C$122</f>
        <v>0</v>
      </c>
      <c r="T132" s="2">
        <f>($C$116*T13)*$C$122</f>
        <v>0</v>
      </c>
    </row>
    <row r="133" spans="1:24" x14ac:dyDescent="0.2">
      <c r="A133" s="6" t="s">
        <v>97</v>
      </c>
      <c r="B133" t="s">
        <v>182</v>
      </c>
    </row>
    <row r="134" spans="1:24" x14ac:dyDescent="0.2">
      <c r="A134" s="111" t="s">
        <v>176</v>
      </c>
      <c r="B134" s="114" t="s">
        <v>184</v>
      </c>
      <c r="G134" s="2">
        <f>$C$122*$C$115*G47</f>
        <v>640</v>
      </c>
      <c r="H134" s="2">
        <f>$C$122*$C$115*H47</f>
        <v>106.44000000000001</v>
      </c>
      <c r="I134" s="2">
        <f>$C$122*$C$115*I47</f>
        <v>141.61842000000001</v>
      </c>
      <c r="J134" s="2">
        <f>$C$122*$C$115*J47</f>
        <v>188.42330781000004</v>
      </c>
      <c r="K134" s="2">
        <f>$C$122*$C$115*K47</f>
        <v>250.69721104120504</v>
      </c>
      <c r="L134" s="2">
        <f>$C$122*$C$115*L47</f>
        <v>333.55263929032333</v>
      </c>
      <c r="M134" s="2">
        <f>$C$122*$C$115*M47</f>
        <v>443.79178657577518</v>
      </c>
      <c r="N134" s="2">
        <f>$C$122*$C$115*N47</f>
        <v>590.46497203906881</v>
      </c>
      <c r="O134" s="2">
        <f>$C$122*$C$115*O47</f>
        <v>785.61364529798118</v>
      </c>
      <c r="P134" s="2">
        <f>$C$122*$C$116*P47</f>
        <v>992.99600731551584</v>
      </c>
      <c r="Q134" s="2">
        <f>$C$122*$C$116*Q47</f>
        <v>1321.1811877332939</v>
      </c>
      <c r="R134" s="2">
        <f>$C$122*$C$116*R47</f>
        <v>1757.8315702791474</v>
      </c>
    </row>
    <row r="135" spans="1:24" x14ac:dyDescent="0.2">
      <c r="A135" s="111" t="s">
        <v>177</v>
      </c>
      <c r="B135" s="115" t="s">
        <v>183</v>
      </c>
      <c r="G135" s="2">
        <f>$C$122*$C$115*G48</f>
        <v>400</v>
      </c>
      <c r="H135" s="2">
        <f>$C$122*$C$115*H48</f>
        <v>66.525000000000006</v>
      </c>
      <c r="I135" s="2">
        <f>$C$122*$C$115*I48</f>
        <v>88.511512500000009</v>
      </c>
      <c r="J135" s="2">
        <f>$C$122*$C$115*J48</f>
        <v>117.76456738125002</v>
      </c>
      <c r="K135" s="2">
        <f>$C$122*$C$115*K48</f>
        <v>156.68575690075315</v>
      </c>
      <c r="L135" s="2">
        <f>$C$122*$C$115*L48</f>
        <v>208.47039955645207</v>
      </c>
      <c r="M135" s="2">
        <f>$C$122*$C$115*M48</f>
        <v>277.36986660985946</v>
      </c>
      <c r="N135" s="2">
        <f>$C$122*$C$115*N48</f>
        <v>369.04060752441802</v>
      </c>
      <c r="O135" s="2">
        <f>$C$122*$C$115*O48</f>
        <v>491.00852831123819</v>
      </c>
      <c r="P135" s="2">
        <f>$C$122*$C$116*P48</f>
        <v>620.62250457219727</v>
      </c>
      <c r="Q135" s="2">
        <f>$C$122*$C$116*Q48</f>
        <v>825.73824233330856</v>
      </c>
      <c r="R135" s="2">
        <f>$C$122*$C$116*R48</f>
        <v>1098.644731424467</v>
      </c>
      <c r="S135" s="2">
        <f>$C$116*S35*$C$122</f>
        <v>0</v>
      </c>
      <c r="T135" s="2">
        <f>$C$116*T35*$C$122</f>
        <v>0</v>
      </c>
    </row>
    <row r="136" spans="1:24" x14ac:dyDescent="0.2">
      <c r="A136" s="111"/>
      <c r="B136" s="115" t="s">
        <v>185</v>
      </c>
      <c r="C136" s="106">
        <v>15</v>
      </c>
      <c r="G136" s="2">
        <f t="shared" ref="G136:R136" si="64">$C$136*G69</f>
        <v>1500</v>
      </c>
      <c r="H136" s="2">
        <f t="shared" si="64"/>
        <v>1749.46875</v>
      </c>
      <c r="I136" s="2">
        <f t="shared" si="64"/>
        <v>2081.3869218749996</v>
      </c>
      <c r="J136" s="2">
        <f t="shared" si="64"/>
        <v>2523.0040495546873</v>
      </c>
      <c r="K136" s="2">
        <f t="shared" si="64"/>
        <v>3110.5756379325117</v>
      </c>
      <c r="L136" s="2">
        <f t="shared" si="64"/>
        <v>3892.3396362692069</v>
      </c>
      <c r="M136" s="2">
        <f t="shared" si="64"/>
        <v>4932.4766360561798</v>
      </c>
      <c r="N136" s="2">
        <f t="shared" si="64"/>
        <v>6316.3789142727474</v>
      </c>
      <c r="O136" s="2">
        <f t="shared" si="64"/>
        <v>8157.6608954398898</v>
      </c>
      <c r="P136" s="2">
        <f t="shared" si="64"/>
        <v>10607.486571382775</v>
      </c>
      <c r="Q136" s="2">
        <f t="shared" si="64"/>
        <v>13866.979633224782</v>
      </c>
      <c r="R136" s="2">
        <f t="shared" si="64"/>
        <v>18203.735152005574</v>
      </c>
      <c r="S136" s="2">
        <f>$C$122*$C$116*S48</f>
        <v>0</v>
      </c>
      <c r="T136" s="2">
        <f>$C$122*$C$116*T48</f>
        <v>0</v>
      </c>
    </row>
    <row r="137" spans="1:24" x14ac:dyDescent="0.2">
      <c r="A137" s="111" t="s">
        <v>178</v>
      </c>
      <c r="B137" s="114" t="s">
        <v>183</v>
      </c>
      <c r="G137" s="2">
        <f>$C$122*$C$115*G49</f>
        <v>400</v>
      </c>
      <c r="H137" s="2">
        <f>$C$122*$C$115*H49</f>
        <v>66.525000000000006</v>
      </c>
      <c r="I137" s="2">
        <f>$C$122*$C$115*I49</f>
        <v>88.511512500000009</v>
      </c>
      <c r="J137" s="2">
        <f>$C$122*$C$115*J49</f>
        <v>117.76456738125002</v>
      </c>
      <c r="K137" s="2">
        <f>$C$122*$C$115*K49</f>
        <v>156.68575690075315</v>
      </c>
      <c r="L137" s="2">
        <f>$C$122*$C$115*L49</f>
        <v>208.47039955645207</v>
      </c>
      <c r="M137" s="2">
        <f>$C$122*$C$115*M49</f>
        <v>277.36986660985946</v>
      </c>
      <c r="N137" s="2">
        <f>$C$122*$C$115*N49</f>
        <v>369.04060752441802</v>
      </c>
      <c r="O137" s="2">
        <f>$C$122*$C$115*O49</f>
        <v>491.00852831123819</v>
      </c>
      <c r="P137" s="2">
        <f>$C$122*$C$116*P49</f>
        <v>620.62250457219727</v>
      </c>
      <c r="Q137" s="2">
        <f>$C$122*$C$116*Q49</f>
        <v>825.73824233330856</v>
      </c>
      <c r="R137" s="2">
        <f>$C$122*$C$116*R49</f>
        <v>1098.644731424467</v>
      </c>
    </row>
    <row r="138" spans="1:24" x14ac:dyDescent="0.2">
      <c r="A138" s="111"/>
      <c r="B138" s="114" t="s">
        <v>186</v>
      </c>
      <c r="C138" s="106">
        <v>75</v>
      </c>
      <c r="G138" s="2">
        <f t="shared" ref="G138:R138" si="65">$C$138*G70</f>
        <v>7500</v>
      </c>
      <c r="H138" s="2">
        <f t="shared" si="65"/>
        <v>8747.34375</v>
      </c>
      <c r="I138" s="2">
        <f t="shared" si="65"/>
        <v>10406.934609374999</v>
      </c>
      <c r="J138" s="2">
        <f t="shared" si="65"/>
        <v>12615.020247773436</v>
      </c>
      <c r="K138" s="2">
        <f t="shared" si="65"/>
        <v>15552.878189662559</v>
      </c>
      <c r="L138" s="2">
        <f t="shared" si="65"/>
        <v>19461.698181346037</v>
      </c>
      <c r="M138" s="2">
        <f t="shared" si="65"/>
        <v>24662.3831802809</v>
      </c>
      <c r="N138" s="2">
        <f t="shared" si="65"/>
        <v>31581.894571363737</v>
      </c>
      <c r="O138" s="2">
        <f t="shared" si="65"/>
        <v>40788.304477199446</v>
      </c>
      <c r="P138" s="2">
        <f t="shared" si="65"/>
        <v>53037.432856913874</v>
      </c>
      <c r="Q138" s="2">
        <f t="shared" si="65"/>
        <v>69334.898166123909</v>
      </c>
      <c r="R138" s="2">
        <f t="shared" si="65"/>
        <v>91018.675760027865</v>
      </c>
      <c r="S138" s="2">
        <f>$C$122*$C$115*S70</f>
        <v>4854.3293738681532</v>
      </c>
      <c r="T138" s="2">
        <f>$C$122*$C$115*T70</f>
        <v>4854.3293738681532</v>
      </c>
      <c r="U138" s="2"/>
      <c r="V138" s="2"/>
      <c r="W138" s="2"/>
      <c r="X138" s="2"/>
    </row>
    <row r="139" spans="1:24" x14ac:dyDescent="0.2">
      <c r="A139" s="111" t="s">
        <v>179</v>
      </c>
      <c r="B139" s="114" t="s">
        <v>183</v>
      </c>
      <c r="G139" s="2">
        <f>$C$122*$C$115*G50</f>
        <v>160</v>
      </c>
      <c r="H139" s="2">
        <f>$C$122*$C$115*H50</f>
        <v>26.610000000000003</v>
      </c>
      <c r="I139" s="2">
        <f>$C$122*$C$115*I50</f>
        <v>35.404605000000004</v>
      </c>
      <c r="J139" s="2">
        <f>$C$122*$C$115*J50</f>
        <v>47.10582695250001</v>
      </c>
      <c r="K139" s="2">
        <f>$C$122*$C$115*K50</f>
        <v>62.674302760301259</v>
      </c>
      <c r="L139" s="2">
        <f>$C$122*$C$115*L50</f>
        <v>83.388159822580832</v>
      </c>
      <c r="M139" s="2">
        <f>$C$122*$C$115*M50</f>
        <v>110.94794664394379</v>
      </c>
      <c r="N139" s="2">
        <f>$C$122*$C$115*N50</f>
        <v>147.6162430097672</v>
      </c>
      <c r="O139" s="2">
        <f>$C$122*$C$115*O50</f>
        <v>196.40341132449529</v>
      </c>
      <c r="P139" s="2">
        <f>$C$122*$C$116*P50</f>
        <v>248.24900182887896</v>
      </c>
      <c r="Q139" s="2">
        <f>$C$122*$C$116*Q50</f>
        <v>330.29529693332347</v>
      </c>
      <c r="R139" s="2">
        <f>$C$122*$C$116*R50</f>
        <v>439.45789256978685</v>
      </c>
    </row>
    <row r="140" spans="1:24" x14ac:dyDescent="0.2">
      <c r="B140" s="114" t="s">
        <v>187</v>
      </c>
      <c r="C140" s="106">
        <v>125</v>
      </c>
      <c r="D140" t="s">
        <v>188</v>
      </c>
      <c r="G140" s="2">
        <f t="shared" ref="G140:R140" si="66">$C$140*G71</f>
        <v>5000</v>
      </c>
      <c r="H140" s="2">
        <f t="shared" si="66"/>
        <v>5831.5625</v>
      </c>
      <c r="I140" s="2">
        <f t="shared" si="66"/>
        <v>6937.9564062500003</v>
      </c>
      <c r="J140" s="2">
        <f t="shared" si="66"/>
        <v>8410.0134985156255</v>
      </c>
      <c r="K140" s="2">
        <f t="shared" si="66"/>
        <v>10368.58545977504</v>
      </c>
      <c r="L140" s="2">
        <f t="shared" si="66"/>
        <v>12974.465454230693</v>
      </c>
      <c r="M140" s="2">
        <f t="shared" si="66"/>
        <v>16441.588786853936</v>
      </c>
      <c r="N140" s="2">
        <f t="shared" si="66"/>
        <v>21054.596380909159</v>
      </c>
      <c r="O140" s="2">
        <f t="shared" si="66"/>
        <v>27192.202984799638</v>
      </c>
      <c r="P140" s="2">
        <f t="shared" si="66"/>
        <v>35358.288571275923</v>
      </c>
      <c r="Q140" s="2">
        <f t="shared" si="66"/>
        <v>46223.265444082615</v>
      </c>
      <c r="R140" s="2">
        <f t="shared" si="66"/>
        <v>60679.117173351922</v>
      </c>
    </row>
  </sheetData>
  <mergeCells count="1">
    <mergeCell ref="G81:T89"/>
  </mergeCells>
  <hyperlinks>
    <hyperlink ref="D23" r:id="rId1" xr:uid="{E518C58D-EFE2-5E41-93B1-7E8F5856F67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C6A77-8D4D-7641-AE39-DD23F5E19AD1}">
  <dimension ref="A1:N13"/>
  <sheetViews>
    <sheetView workbookViewId="0">
      <selection activeCell="C13" sqref="C13:N13"/>
    </sheetView>
  </sheetViews>
  <sheetFormatPr baseColWidth="10" defaultRowHeight="16" x14ac:dyDescent="0.2"/>
  <cols>
    <col min="1" max="1" width="12.83203125" bestFit="1" customWidth="1"/>
    <col min="3" max="9" width="11.1640625" bestFit="1" customWidth="1"/>
    <col min="10" max="12" width="11.5" bestFit="1" customWidth="1"/>
    <col min="13" max="14" width="11.6640625" bestFit="1" customWidth="1"/>
  </cols>
  <sheetData>
    <row r="1" spans="1:14" x14ac:dyDescent="0.2">
      <c r="C1" t="s">
        <v>12</v>
      </c>
    </row>
    <row r="2" spans="1:14" x14ac:dyDescent="0.2">
      <c r="A2" t="s">
        <v>191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</row>
    <row r="4" spans="1:14" x14ac:dyDescent="0.2">
      <c r="A4" s="6" t="s">
        <v>27</v>
      </c>
      <c r="C4" s="2">
        <f>SUM(Assumptions!G125:G140)</f>
        <v>16398.75</v>
      </c>
      <c r="D4" s="2">
        <f>SUM(Assumptions!H125:H140)</f>
        <v>18095.961875000001</v>
      </c>
      <c r="E4" s="2">
        <f>SUM(Assumptions!I125:I140)</f>
        <v>22216.802274687499</v>
      </c>
      <c r="F4" s="2">
        <f>SUM(Assumptions!J125:J140)</f>
        <v>27699.580426471719</v>
      </c>
      <c r="G4" s="2">
        <f>SUM(Assumptions!K125:K140)</f>
        <v>34994.416757420622</v>
      </c>
      <c r="H4" s="2">
        <f>SUM(Assumptions!L125:L140)</f>
        <v>44700.196495748147</v>
      </c>
      <c r="I4" s="2">
        <f>SUM(Assumptions!M125:M140)</f>
        <v>57613.736437592903</v>
      </c>
      <c r="J4" s="2">
        <f>SUM(Assumptions!N125:N140)</f>
        <v>74795.201330217358</v>
      </c>
      <c r="K4" s="2">
        <f>SUM(Assumptions!O125:O140)</f>
        <v>97655.140369854198</v>
      </c>
      <c r="L4" s="2">
        <f>SUM(Assumptions!P125:P140)</f>
        <v>127939.6318927074</v>
      </c>
      <c r="M4" s="2">
        <f>SUM(Assumptions!Q125:Q140)</f>
        <v>168363.8052332472</v>
      </c>
      <c r="N4" s="2">
        <f>SUM(Assumptions!R125:R140)</f>
        <v>222148.16786283543</v>
      </c>
    </row>
    <row r="6" spans="1:14" x14ac:dyDescent="0.2">
      <c r="A6" s="6" t="s">
        <v>192</v>
      </c>
    </row>
    <row r="7" spans="1:14" x14ac:dyDescent="0.2">
      <c r="A7" t="s">
        <v>193</v>
      </c>
      <c r="C7" s="2">
        <f>SUM(Assumptions!G93:G98)</f>
        <v>17250</v>
      </c>
      <c r="D7" s="2">
        <f>SUM(Assumptions!H93:H98)</f>
        <v>17250</v>
      </c>
      <c r="E7" s="2">
        <f>SUM(Assumptions!I93:I98)</f>
        <v>17250</v>
      </c>
      <c r="F7" s="2">
        <f>SUM(Assumptions!J93:J98)</f>
        <v>17250</v>
      </c>
      <c r="G7" s="2">
        <f>SUM(Assumptions!K93:K98)</f>
        <v>17250</v>
      </c>
      <c r="H7" s="2">
        <f>SUM(Assumptions!L93:L98)</f>
        <v>17250</v>
      </c>
      <c r="I7" s="2">
        <f>SUM(Assumptions!M93:M98)</f>
        <v>17250</v>
      </c>
      <c r="J7" s="2">
        <f>SUM(Assumptions!N93:N98)</f>
        <v>17250</v>
      </c>
      <c r="K7" s="2">
        <f>SUM(Assumptions!O93:O98)</f>
        <v>17250</v>
      </c>
      <c r="L7" s="2">
        <f>SUM(Assumptions!P93:P98)</f>
        <v>17250</v>
      </c>
      <c r="M7" s="2">
        <f>SUM(Assumptions!Q93:Q98)</f>
        <v>17250</v>
      </c>
      <c r="N7" s="2">
        <f>SUM(Assumptions!R93:R98)</f>
        <v>17250</v>
      </c>
    </row>
    <row r="8" spans="1:14" x14ac:dyDescent="0.2">
      <c r="A8" t="s">
        <v>194</v>
      </c>
      <c r="C8" s="2">
        <f>SUM(Assumptions!G102:G115)</f>
        <v>4020.4750000000004</v>
      </c>
      <c r="D8" s="2">
        <f>SUM(Assumptions!H102:H115)</f>
        <v>3147.2014624999997</v>
      </c>
      <c r="E8" s="2">
        <f>SUM(Assumptions!I102:I115)</f>
        <v>4271.7752708562502</v>
      </c>
      <c r="F8" s="2">
        <f>SUM(Assumptions!J102:J115)</f>
        <v>5768.0207228742411</v>
      </c>
      <c r="G8" s="2">
        <f>SUM(Assumptions!K102:K115)</f>
        <v>7758.7752967841789</v>
      </c>
      <c r="H8" s="2">
        <f>SUM(Assumptions!L102:L115)</f>
        <v>10407.474257371348</v>
      </c>
      <c r="I8" s="2">
        <f>SUM(Assumptions!M102:M115)</f>
        <v>13931.56822443258</v>
      </c>
      <c r="J8" s="2">
        <f>SUM(Assumptions!N102:N115)</f>
        <v>18620.375247607546</v>
      </c>
      <c r="K8" s="2">
        <f>SUM(Assumptions!O102:O115)</f>
        <v>24858.832991941839</v>
      </c>
      <c r="L8" s="2">
        <f>SUM(Assumptions!P102:P115)</f>
        <v>33159.101020778631</v>
      </c>
      <c r="M8" s="2">
        <f>SUM(Assumptions!Q102:Q115)</f>
        <v>44202.60763314597</v>
      </c>
      <c r="N8" s="2">
        <f>SUM(Assumptions!R102:R115)</f>
        <v>58895.99318090071</v>
      </c>
    </row>
    <row r="9" spans="1:14" x14ac:dyDescent="0.2">
      <c r="A9" t="s">
        <v>195</v>
      </c>
      <c r="C9" s="2">
        <f>Assumptions!G90</f>
        <v>16166.666666666666</v>
      </c>
      <c r="D9" s="2">
        <f>Assumptions!H90</f>
        <v>16166.666666666666</v>
      </c>
      <c r="E9" s="2">
        <f>Assumptions!I90</f>
        <v>16166.666666666666</v>
      </c>
      <c r="F9" s="2">
        <f>Assumptions!J90</f>
        <v>16166.666666666666</v>
      </c>
      <c r="G9" s="2">
        <f>Assumptions!K90</f>
        <v>16166.666666666666</v>
      </c>
      <c r="H9" s="2">
        <f>Assumptions!L90</f>
        <v>16166.666666666666</v>
      </c>
      <c r="I9" s="2">
        <f>Assumptions!M90</f>
        <v>16166.666666666666</v>
      </c>
      <c r="J9" s="2">
        <f>Assumptions!N90</f>
        <v>16166.666666666666</v>
      </c>
      <c r="K9" s="2">
        <f>Assumptions!O90</f>
        <v>16166.666666666666</v>
      </c>
      <c r="L9" s="2">
        <f>Assumptions!P90</f>
        <v>16166.666666666666</v>
      </c>
      <c r="M9" s="2">
        <f>Assumptions!Q90</f>
        <v>16166.666666666666</v>
      </c>
      <c r="N9" s="2">
        <f>Assumptions!R90</f>
        <v>16166.666666666666</v>
      </c>
    </row>
    <row r="10" spans="1:14" x14ac:dyDescent="0.2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2">
      <c r="A11" t="s">
        <v>197</v>
      </c>
      <c r="C11" s="2">
        <f>SUM(C7:C9)</f>
        <v>37437.141666666663</v>
      </c>
      <c r="D11" s="2">
        <f t="shared" ref="D11:N11" si="0">SUM(D7:D9)</f>
        <v>36563.868129166665</v>
      </c>
      <c r="E11" s="2">
        <f t="shared" si="0"/>
        <v>37688.441937522919</v>
      </c>
      <c r="F11" s="2">
        <f t="shared" si="0"/>
        <v>39184.687389540908</v>
      </c>
      <c r="G11" s="2">
        <f t="shared" si="0"/>
        <v>41175.441963450845</v>
      </c>
      <c r="H11" s="2">
        <f t="shared" si="0"/>
        <v>43824.140924038016</v>
      </c>
      <c r="I11" s="2">
        <f t="shared" si="0"/>
        <v>47348.234891099244</v>
      </c>
      <c r="J11" s="2">
        <f t="shared" si="0"/>
        <v>52037.04191427421</v>
      </c>
      <c r="K11" s="2">
        <f t="shared" si="0"/>
        <v>58275.499658608504</v>
      </c>
      <c r="L11" s="2">
        <f t="shared" si="0"/>
        <v>66575.767687445303</v>
      </c>
      <c r="M11" s="2">
        <f t="shared" si="0"/>
        <v>77619.274299812634</v>
      </c>
      <c r="N11" s="2">
        <f t="shared" si="0"/>
        <v>92312.659847567382</v>
      </c>
    </row>
    <row r="13" spans="1:14" x14ac:dyDescent="0.2">
      <c r="A13" t="s">
        <v>196</v>
      </c>
      <c r="C13" s="117">
        <f>C4-C11</f>
        <v>-21038.391666666663</v>
      </c>
      <c r="D13" s="117">
        <f t="shared" ref="D13:N13" si="1">D4-D11</f>
        <v>-18467.906254166664</v>
      </c>
      <c r="E13" s="117">
        <f t="shared" si="1"/>
        <v>-15471.63966283542</v>
      </c>
      <c r="F13" s="117">
        <f t="shared" si="1"/>
        <v>-11485.106963069189</v>
      </c>
      <c r="G13" s="117">
        <f t="shared" si="1"/>
        <v>-6181.0252060302228</v>
      </c>
      <c r="H13" s="117">
        <f t="shared" si="1"/>
        <v>876.05557171013061</v>
      </c>
      <c r="I13" s="117">
        <f t="shared" si="1"/>
        <v>10265.501546493659</v>
      </c>
      <c r="J13" s="117">
        <f t="shared" si="1"/>
        <v>22758.159415943148</v>
      </c>
      <c r="K13" s="117">
        <f t="shared" si="1"/>
        <v>39379.640711245695</v>
      </c>
      <c r="L13" s="117">
        <f t="shared" si="1"/>
        <v>61363.8642052621</v>
      </c>
      <c r="M13" s="117">
        <f t="shared" si="1"/>
        <v>90744.530933434566</v>
      </c>
      <c r="N13" s="117">
        <f t="shared" si="1"/>
        <v>129835.50801526805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29382-1D12-D542-A297-AA9CF89BAEE0}">
  <dimension ref="A1:CL70"/>
  <sheetViews>
    <sheetView topLeftCell="A33" zoomScale="90" workbookViewId="0">
      <selection activeCell="C45" sqref="C45"/>
    </sheetView>
  </sheetViews>
  <sheetFormatPr baseColWidth="10" defaultColWidth="9.1640625" defaultRowHeight="14" x14ac:dyDescent="0.2"/>
  <cols>
    <col min="1" max="1" width="57.83203125" style="16" customWidth="1"/>
    <col min="2" max="65" width="14.83203125" style="16" customWidth="1"/>
    <col min="66" max="16384" width="9.1640625" style="16"/>
  </cols>
  <sheetData>
    <row r="1" spans="1:18" x14ac:dyDescent="0.2">
      <c r="A1" s="16" t="s">
        <v>29</v>
      </c>
    </row>
    <row r="3" spans="1:18" s="21" customFormat="1" x14ac:dyDescent="0.2">
      <c r="A3" s="11"/>
      <c r="B3" s="20"/>
      <c r="C3" s="20"/>
      <c r="D3" s="8"/>
      <c r="E3" s="8"/>
    </row>
    <row r="4" spans="1:18" s="21" customFormat="1" x14ac:dyDescent="0.15">
      <c r="A4" s="22" t="s">
        <v>58</v>
      </c>
      <c r="B4" s="23"/>
      <c r="C4" s="24"/>
      <c r="D4" s="24"/>
      <c r="E4" s="24"/>
      <c r="F4" s="25"/>
      <c r="G4" s="26"/>
      <c r="H4" s="23"/>
      <c r="I4" s="23"/>
      <c r="J4" s="23"/>
      <c r="K4" s="23"/>
      <c r="L4" s="23"/>
      <c r="M4" s="27"/>
      <c r="N4" s="23"/>
      <c r="O4" s="23"/>
      <c r="P4" s="23"/>
      <c r="Q4" s="23"/>
    </row>
    <row r="5" spans="1:18" s="21" customFormat="1" x14ac:dyDescent="0.15">
      <c r="A5" s="10" t="s">
        <v>30</v>
      </c>
      <c r="B5" s="28"/>
      <c r="C5" s="28"/>
      <c r="D5" s="28"/>
      <c r="E5" s="28"/>
      <c r="F5" s="28"/>
      <c r="G5" s="28"/>
      <c r="H5" s="28"/>
      <c r="I5" s="28"/>
      <c r="J5" s="23"/>
      <c r="K5" s="23"/>
      <c r="L5" s="23"/>
      <c r="M5" s="27"/>
      <c r="N5" s="23"/>
      <c r="O5" s="23"/>
      <c r="P5" s="23"/>
      <c r="Q5" s="23"/>
    </row>
    <row r="6" spans="1:18" s="21" customFormat="1" x14ac:dyDescent="0.15">
      <c r="A6" s="10" t="s">
        <v>31</v>
      </c>
      <c r="B6" s="29"/>
      <c r="C6" s="29"/>
      <c r="D6" s="29"/>
      <c r="E6" s="29"/>
      <c r="F6" s="29"/>
      <c r="G6" s="29"/>
      <c r="H6" s="30"/>
      <c r="I6" s="31"/>
      <c r="J6" s="31"/>
      <c r="K6" s="31"/>
      <c r="L6" s="31"/>
      <c r="M6" s="32"/>
      <c r="N6" s="31"/>
      <c r="O6" s="31"/>
      <c r="P6" s="31"/>
      <c r="Q6" s="31"/>
    </row>
    <row r="7" spans="1:18" s="21" customFormat="1" x14ac:dyDescent="0.2">
      <c r="A7" s="123"/>
      <c r="B7" s="120" t="s">
        <v>59</v>
      </c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2"/>
    </row>
    <row r="8" spans="1:18" s="21" customFormat="1" ht="15" x14ac:dyDescent="0.2">
      <c r="A8" s="124"/>
      <c r="B8" s="91"/>
      <c r="C8" s="33">
        <v>2009</v>
      </c>
      <c r="D8" s="34">
        <v>2010</v>
      </c>
      <c r="E8" s="34">
        <v>2011</v>
      </c>
      <c r="F8" s="34">
        <v>2012</v>
      </c>
      <c r="G8" s="35">
        <v>2013</v>
      </c>
      <c r="H8" s="36">
        <v>2014</v>
      </c>
      <c r="I8" s="34">
        <v>2015</v>
      </c>
      <c r="J8" s="34">
        <v>2016</v>
      </c>
      <c r="K8" s="34">
        <v>2017</v>
      </c>
      <c r="L8" s="34">
        <v>2018</v>
      </c>
      <c r="M8" s="34">
        <v>2019</v>
      </c>
      <c r="N8" s="35">
        <v>2020</v>
      </c>
      <c r="O8" s="37" t="s">
        <v>60</v>
      </c>
      <c r="P8" s="38" t="s">
        <v>61</v>
      </c>
      <c r="Q8" s="38" t="s">
        <v>62</v>
      </c>
      <c r="R8" s="39" t="s">
        <v>63</v>
      </c>
    </row>
    <row r="9" spans="1:18" s="21" customFormat="1" x14ac:dyDescent="0.15">
      <c r="A9" s="40"/>
      <c r="B9" s="92"/>
      <c r="C9" s="41"/>
      <c r="D9" s="42"/>
      <c r="E9" s="42"/>
      <c r="F9" s="42"/>
      <c r="G9" s="43"/>
      <c r="H9" s="44"/>
      <c r="I9" s="42"/>
      <c r="J9" s="45"/>
      <c r="K9" s="42"/>
      <c r="L9" s="42"/>
      <c r="M9" s="42"/>
      <c r="N9" s="46"/>
      <c r="O9" s="46"/>
      <c r="P9" s="46"/>
      <c r="Q9" s="46"/>
      <c r="R9" s="47"/>
    </row>
    <row r="10" spans="1:18" ht="15" x14ac:dyDescent="0.15">
      <c r="A10" s="48" t="s">
        <v>64</v>
      </c>
      <c r="B10" s="93"/>
      <c r="C10" s="49">
        <v>139100</v>
      </c>
      <c r="D10" s="50">
        <v>137135</v>
      </c>
      <c r="E10" s="50">
        <v>139070</v>
      </c>
      <c r="F10" s="50">
        <v>138925</v>
      </c>
      <c r="G10" s="51">
        <v>143855</v>
      </c>
      <c r="H10" s="52">
        <v>145280</v>
      </c>
      <c r="I10" s="53">
        <v>146905</v>
      </c>
      <c r="J10" s="50">
        <v>147600</v>
      </c>
      <c r="K10" s="53">
        <v>147795</v>
      </c>
      <c r="L10" s="53">
        <v>149165</v>
      </c>
      <c r="M10" s="53">
        <v>149540</v>
      </c>
      <c r="N10" s="54">
        <v>148845</v>
      </c>
      <c r="O10" s="54">
        <v>141030</v>
      </c>
      <c r="P10" s="54">
        <v>142500</v>
      </c>
      <c r="Q10" s="54">
        <v>141390</v>
      </c>
      <c r="R10" s="55">
        <v>141255</v>
      </c>
    </row>
    <row r="11" spans="1:18" ht="15" x14ac:dyDescent="0.15">
      <c r="A11" s="48" t="s">
        <v>65</v>
      </c>
      <c r="B11" s="93"/>
      <c r="C11" s="49">
        <v>140580</v>
      </c>
      <c r="D11" s="50">
        <v>134980</v>
      </c>
      <c r="E11" s="50">
        <v>130555</v>
      </c>
      <c r="F11" s="50">
        <v>133375</v>
      </c>
      <c r="G11" s="56">
        <v>136215</v>
      </c>
      <c r="H11" s="52">
        <v>137375</v>
      </c>
      <c r="I11" s="53">
        <v>142075</v>
      </c>
      <c r="J11" s="50">
        <v>146320</v>
      </c>
      <c r="K11" s="53">
        <v>148870</v>
      </c>
      <c r="L11" s="53">
        <v>150435</v>
      </c>
      <c r="M11" s="53">
        <v>152015</v>
      </c>
      <c r="N11" s="54">
        <v>152670</v>
      </c>
      <c r="O11" s="54">
        <v>155450</v>
      </c>
      <c r="P11" s="54">
        <v>154525</v>
      </c>
      <c r="Q11" s="54">
        <v>151710</v>
      </c>
      <c r="R11" s="55">
        <v>148240</v>
      </c>
    </row>
    <row r="12" spans="1:18" x14ac:dyDescent="0.15">
      <c r="A12" s="48"/>
      <c r="B12" s="93"/>
      <c r="C12" s="49" t="s">
        <v>66</v>
      </c>
      <c r="D12" s="50" t="s">
        <v>66</v>
      </c>
      <c r="E12" s="50" t="s">
        <v>66</v>
      </c>
      <c r="F12" s="50"/>
      <c r="G12" s="56" t="s">
        <v>66</v>
      </c>
      <c r="H12" s="52"/>
      <c r="I12" s="53"/>
      <c r="J12" s="50"/>
      <c r="K12" s="53"/>
      <c r="L12" s="53"/>
      <c r="M12" s="53"/>
      <c r="N12" s="54"/>
      <c r="O12" s="54"/>
      <c r="P12" s="54"/>
      <c r="Q12" s="54"/>
      <c r="R12" s="55"/>
    </row>
    <row r="13" spans="1:18" ht="15" x14ac:dyDescent="0.15">
      <c r="A13" s="48" t="s">
        <v>67</v>
      </c>
      <c r="B13" s="93"/>
      <c r="C13" s="49">
        <v>7360</v>
      </c>
      <c r="D13" s="50">
        <v>7610</v>
      </c>
      <c r="E13" s="50">
        <v>8055</v>
      </c>
      <c r="F13" s="50">
        <v>9080</v>
      </c>
      <c r="G13" s="56">
        <v>10285</v>
      </c>
      <c r="H13" s="52">
        <v>11020</v>
      </c>
      <c r="I13" s="53">
        <v>11125</v>
      </c>
      <c r="J13" s="50">
        <v>13070</v>
      </c>
      <c r="K13" s="53">
        <v>13620</v>
      </c>
      <c r="L13" s="53">
        <v>14330</v>
      </c>
      <c r="M13" s="53">
        <v>14655</v>
      </c>
      <c r="N13" s="54">
        <v>14965</v>
      </c>
      <c r="O13" s="54">
        <v>15355</v>
      </c>
      <c r="P13" s="54">
        <v>16085</v>
      </c>
      <c r="Q13" s="54">
        <v>15890</v>
      </c>
      <c r="R13" s="55">
        <v>15945</v>
      </c>
    </row>
    <row r="14" spans="1:18" ht="15" x14ac:dyDescent="0.15">
      <c r="A14" s="48" t="s">
        <v>68</v>
      </c>
      <c r="B14" s="93"/>
      <c r="C14" s="49">
        <v>133220</v>
      </c>
      <c r="D14" s="50">
        <v>127370</v>
      </c>
      <c r="E14" s="50">
        <v>122500</v>
      </c>
      <c r="F14" s="50">
        <v>124295</v>
      </c>
      <c r="G14" s="56">
        <v>125930</v>
      </c>
      <c r="H14" s="52">
        <v>126355</v>
      </c>
      <c r="I14" s="53">
        <v>130140</v>
      </c>
      <c r="J14" s="50">
        <v>133250</v>
      </c>
      <c r="K14" s="53">
        <v>135250</v>
      </c>
      <c r="L14" s="53">
        <v>136105</v>
      </c>
      <c r="M14" s="53">
        <v>137360</v>
      </c>
      <c r="N14" s="54">
        <v>137705</v>
      </c>
      <c r="O14" s="54">
        <v>140095</v>
      </c>
      <c r="P14" s="54">
        <v>138440</v>
      </c>
      <c r="Q14" s="54">
        <v>135820</v>
      </c>
      <c r="R14" s="55">
        <v>132295</v>
      </c>
    </row>
    <row r="15" spans="1:18" ht="15" x14ac:dyDescent="0.15">
      <c r="A15" s="48" t="s">
        <v>66</v>
      </c>
      <c r="B15" s="93"/>
      <c r="C15" s="49" t="s">
        <v>66</v>
      </c>
      <c r="D15" s="50" t="s">
        <v>66</v>
      </c>
      <c r="E15" s="50" t="s">
        <v>66</v>
      </c>
      <c r="F15" s="50"/>
      <c r="G15" s="56" t="s">
        <v>66</v>
      </c>
      <c r="H15" s="52"/>
      <c r="I15" s="53"/>
      <c r="J15" s="50"/>
      <c r="K15" s="53"/>
      <c r="L15" s="53"/>
      <c r="M15" s="53"/>
      <c r="N15" s="54"/>
      <c r="O15" s="54"/>
      <c r="P15" s="54"/>
      <c r="Q15" s="54"/>
      <c r="R15" s="55"/>
    </row>
    <row r="16" spans="1:18" ht="15" x14ac:dyDescent="0.15">
      <c r="A16" s="48" t="s">
        <v>69</v>
      </c>
      <c r="B16" s="93"/>
      <c r="C16" s="49">
        <v>289085</v>
      </c>
      <c r="D16" s="50">
        <v>274415</v>
      </c>
      <c r="E16" s="50">
        <v>262465</v>
      </c>
      <c r="F16" s="50">
        <v>263735</v>
      </c>
      <c r="G16" s="56">
        <v>257425</v>
      </c>
      <c r="H16" s="52">
        <v>266315</v>
      </c>
      <c r="I16" s="53">
        <v>284430</v>
      </c>
      <c r="J16" s="50">
        <v>301855</v>
      </c>
      <c r="K16" s="53">
        <v>319860</v>
      </c>
      <c r="L16" s="53">
        <v>331560</v>
      </c>
      <c r="M16" s="53">
        <v>343715</v>
      </c>
      <c r="N16" s="54">
        <v>351250</v>
      </c>
      <c r="O16" s="54">
        <v>359710</v>
      </c>
      <c r="P16" s="54">
        <v>374980</v>
      </c>
      <c r="Q16" s="54">
        <v>377585</v>
      </c>
      <c r="R16" s="55">
        <v>380195</v>
      </c>
    </row>
    <row r="17" spans="1:18" ht="15" x14ac:dyDescent="0.15">
      <c r="A17" s="48" t="s">
        <v>70</v>
      </c>
      <c r="B17" s="93"/>
      <c r="C17" s="49">
        <v>367535</v>
      </c>
      <c r="D17" s="50">
        <v>359380</v>
      </c>
      <c r="E17" s="50">
        <v>357435</v>
      </c>
      <c r="F17" s="50">
        <v>360920</v>
      </c>
      <c r="G17" s="56">
        <v>358170</v>
      </c>
      <c r="H17" s="52">
        <v>362685</v>
      </c>
      <c r="I17" s="53">
        <v>368600</v>
      </c>
      <c r="J17" s="50">
        <v>369840</v>
      </c>
      <c r="K17" s="53">
        <v>375290</v>
      </c>
      <c r="L17" s="53">
        <v>380230</v>
      </c>
      <c r="M17" s="53">
        <v>389105</v>
      </c>
      <c r="N17" s="54">
        <v>387040</v>
      </c>
      <c r="O17" s="54">
        <v>406420</v>
      </c>
      <c r="P17" s="54">
        <v>413825</v>
      </c>
      <c r="Q17" s="54">
        <v>402165</v>
      </c>
      <c r="R17" s="55">
        <v>398210</v>
      </c>
    </row>
    <row r="18" spans="1:18" x14ac:dyDescent="0.15">
      <c r="A18" s="48"/>
      <c r="B18" s="93"/>
      <c r="C18" s="49" t="s">
        <v>66</v>
      </c>
      <c r="D18" s="50" t="s">
        <v>66</v>
      </c>
      <c r="E18" s="50" t="s">
        <v>66</v>
      </c>
      <c r="F18" s="50"/>
      <c r="G18" s="56" t="s">
        <v>66</v>
      </c>
      <c r="H18" s="52"/>
      <c r="I18" s="53"/>
      <c r="J18" s="57"/>
      <c r="K18" s="53"/>
      <c r="L18" s="54"/>
      <c r="M18" s="52"/>
      <c r="N18" s="54"/>
      <c r="O18" s="54"/>
      <c r="P18" s="54"/>
      <c r="Q18" s="54"/>
      <c r="R18" s="55"/>
    </row>
    <row r="19" spans="1:18" ht="15" x14ac:dyDescent="0.15">
      <c r="A19" s="48" t="s">
        <v>71</v>
      </c>
      <c r="B19" s="93"/>
      <c r="C19" s="49">
        <v>67560</v>
      </c>
      <c r="D19" s="50">
        <v>66595</v>
      </c>
      <c r="E19" s="50">
        <v>66475</v>
      </c>
      <c r="F19" s="50">
        <v>68045</v>
      </c>
      <c r="G19" s="56">
        <v>67600</v>
      </c>
      <c r="H19" s="50">
        <v>68420</v>
      </c>
      <c r="I19" s="50">
        <v>71885</v>
      </c>
      <c r="J19" s="50">
        <v>73460</v>
      </c>
      <c r="K19" s="50">
        <v>75075</v>
      </c>
      <c r="L19" s="50">
        <v>75755</v>
      </c>
      <c r="M19" s="50">
        <v>77200</v>
      </c>
      <c r="N19" s="50">
        <v>76910</v>
      </c>
      <c r="O19" s="50">
        <v>78995</v>
      </c>
      <c r="P19" s="50">
        <v>81125</v>
      </c>
      <c r="Q19" s="50">
        <v>80860</v>
      </c>
      <c r="R19" s="58">
        <v>81630</v>
      </c>
    </row>
    <row r="20" spans="1:18" ht="15" x14ac:dyDescent="0.15">
      <c r="A20" s="48" t="s">
        <v>72</v>
      </c>
      <c r="B20" s="93"/>
      <c r="C20" s="49">
        <v>107375</v>
      </c>
      <c r="D20" s="50">
        <v>104465</v>
      </c>
      <c r="E20" s="50">
        <v>103570</v>
      </c>
      <c r="F20" s="50">
        <v>103595</v>
      </c>
      <c r="G20" s="56">
        <v>103010</v>
      </c>
      <c r="H20" s="50">
        <v>103910</v>
      </c>
      <c r="I20" s="50">
        <v>104265</v>
      </c>
      <c r="J20" s="50">
        <v>103985</v>
      </c>
      <c r="K20" s="50">
        <v>103415</v>
      </c>
      <c r="L20" s="50">
        <v>102560</v>
      </c>
      <c r="M20" s="50">
        <v>103145</v>
      </c>
      <c r="N20" s="50">
        <v>101330</v>
      </c>
      <c r="O20" s="50">
        <v>106740</v>
      </c>
      <c r="P20" s="50">
        <v>108455</v>
      </c>
      <c r="Q20" s="50">
        <v>104310</v>
      </c>
      <c r="R20" s="58">
        <v>101965</v>
      </c>
    </row>
    <row r="21" spans="1:18" ht="15" x14ac:dyDescent="0.15">
      <c r="A21" s="48" t="s">
        <v>73</v>
      </c>
      <c r="B21" s="93"/>
      <c r="C21" s="49">
        <v>192600</v>
      </c>
      <c r="D21" s="50">
        <v>188320</v>
      </c>
      <c r="E21" s="50">
        <v>187390</v>
      </c>
      <c r="F21" s="50">
        <v>189280</v>
      </c>
      <c r="G21" s="56">
        <v>187560</v>
      </c>
      <c r="H21" s="50">
        <v>190355</v>
      </c>
      <c r="I21" s="50">
        <v>192445</v>
      </c>
      <c r="J21" s="50">
        <v>192395</v>
      </c>
      <c r="K21" s="50">
        <v>196800</v>
      </c>
      <c r="L21" s="50">
        <v>201915</v>
      </c>
      <c r="M21" s="50">
        <v>208760</v>
      </c>
      <c r="N21" s="50">
        <v>208800</v>
      </c>
      <c r="O21" s="50">
        <v>220685</v>
      </c>
      <c r="P21" s="50">
        <v>224245</v>
      </c>
      <c r="Q21" s="50">
        <v>216995</v>
      </c>
      <c r="R21" s="58">
        <v>214615</v>
      </c>
    </row>
    <row r="22" spans="1:18" ht="15" x14ac:dyDescent="0.15">
      <c r="A22" s="48" t="s">
        <v>66</v>
      </c>
      <c r="B22" s="93"/>
      <c r="C22" s="49" t="s">
        <v>66</v>
      </c>
      <c r="D22" s="50" t="s">
        <v>66</v>
      </c>
      <c r="E22" s="50" t="s">
        <v>66</v>
      </c>
      <c r="F22" s="50"/>
      <c r="G22" s="56" t="s">
        <v>66</v>
      </c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8"/>
    </row>
    <row r="23" spans="1:18" ht="15" x14ac:dyDescent="0.15">
      <c r="A23" s="48" t="s">
        <v>74</v>
      </c>
      <c r="B23" s="93"/>
      <c r="C23" s="49">
        <v>71180</v>
      </c>
      <c r="D23" s="50">
        <v>67530</v>
      </c>
      <c r="E23" s="50">
        <v>65940</v>
      </c>
      <c r="F23" s="50">
        <v>67030</v>
      </c>
      <c r="G23" s="56">
        <v>67485</v>
      </c>
      <c r="H23" s="50">
        <v>72070</v>
      </c>
      <c r="I23" s="50">
        <v>82580</v>
      </c>
      <c r="J23" s="50">
        <v>92860</v>
      </c>
      <c r="K23" s="50">
        <v>109290</v>
      </c>
      <c r="L23" s="50">
        <v>108985</v>
      </c>
      <c r="M23" s="50">
        <v>111360</v>
      </c>
      <c r="N23" s="50">
        <v>123075</v>
      </c>
      <c r="O23" s="50">
        <v>138405</v>
      </c>
      <c r="P23" s="50">
        <v>138160</v>
      </c>
      <c r="Q23" s="50">
        <v>128600</v>
      </c>
      <c r="R23" s="58">
        <v>116875</v>
      </c>
    </row>
    <row r="24" spans="1:18" ht="15" x14ac:dyDescent="0.15">
      <c r="A24" s="48" t="s">
        <v>75</v>
      </c>
      <c r="B24" s="93"/>
      <c r="C24" s="49">
        <v>134220</v>
      </c>
      <c r="D24" s="50">
        <v>129740</v>
      </c>
      <c r="E24" s="50">
        <v>127205</v>
      </c>
      <c r="F24" s="50">
        <v>131095</v>
      </c>
      <c r="G24" s="56">
        <v>128925</v>
      </c>
      <c r="H24" s="50">
        <v>132810</v>
      </c>
      <c r="I24" s="50">
        <v>146480</v>
      </c>
      <c r="J24" s="50">
        <v>148020</v>
      </c>
      <c r="K24" s="50">
        <v>150290</v>
      </c>
      <c r="L24" s="50">
        <v>153105</v>
      </c>
      <c r="M24" s="50">
        <v>157035</v>
      </c>
      <c r="N24" s="50">
        <v>161695</v>
      </c>
      <c r="O24" s="50">
        <v>167005</v>
      </c>
      <c r="P24" s="50">
        <v>175180</v>
      </c>
      <c r="Q24" s="50">
        <v>174830</v>
      </c>
      <c r="R24" s="58">
        <v>173515</v>
      </c>
    </row>
    <row r="25" spans="1:18" ht="15" x14ac:dyDescent="0.15">
      <c r="A25" s="48" t="s">
        <v>76</v>
      </c>
      <c r="B25" s="93"/>
      <c r="C25" s="49">
        <v>148690</v>
      </c>
      <c r="D25" s="50">
        <v>144890</v>
      </c>
      <c r="E25" s="50">
        <v>147465</v>
      </c>
      <c r="F25" s="50">
        <v>158775</v>
      </c>
      <c r="G25" s="56">
        <v>165500</v>
      </c>
      <c r="H25" s="50">
        <v>179120</v>
      </c>
      <c r="I25" s="50">
        <v>192725</v>
      </c>
      <c r="J25" s="50">
        <v>206960</v>
      </c>
      <c r="K25" s="50">
        <v>217025</v>
      </c>
      <c r="L25" s="50">
        <v>219150</v>
      </c>
      <c r="M25" s="50">
        <v>226215</v>
      </c>
      <c r="N25" s="50">
        <v>225745</v>
      </c>
      <c r="O25" s="50">
        <v>212960</v>
      </c>
      <c r="P25" s="50">
        <v>196090</v>
      </c>
      <c r="Q25" s="50">
        <v>187360</v>
      </c>
      <c r="R25" s="58">
        <v>187760</v>
      </c>
    </row>
    <row r="26" spans="1:18" ht="15" x14ac:dyDescent="0.15">
      <c r="A26" s="48" t="s">
        <v>77</v>
      </c>
      <c r="B26" s="93"/>
      <c r="C26" s="49">
        <v>43015</v>
      </c>
      <c r="D26" s="59">
        <v>41800</v>
      </c>
      <c r="E26" s="60">
        <v>43225</v>
      </c>
      <c r="F26" s="60">
        <v>45525</v>
      </c>
      <c r="G26" s="61">
        <v>45550</v>
      </c>
      <c r="H26" s="60">
        <v>44915</v>
      </c>
      <c r="I26" s="60">
        <v>49165</v>
      </c>
      <c r="J26" s="61">
        <v>52435</v>
      </c>
      <c r="K26" s="50">
        <v>55715</v>
      </c>
      <c r="L26" s="50">
        <v>58410</v>
      </c>
      <c r="M26" s="50">
        <v>60630</v>
      </c>
      <c r="N26" s="50">
        <v>62040</v>
      </c>
      <c r="O26" s="50">
        <v>61315</v>
      </c>
      <c r="P26" s="50">
        <v>60410</v>
      </c>
      <c r="Q26" s="50">
        <v>59210</v>
      </c>
      <c r="R26" s="58">
        <v>58800</v>
      </c>
    </row>
    <row r="27" spans="1:18" ht="15" x14ac:dyDescent="0.15">
      <c r="A27" s="48" t="s">
        <v>78</v>
      </c>
      <c r="B27" s="93"/>
      <c r="C27" s="49">
        <v>75730</v>
      </c>
      <c r="D27" s="50">
        <v>75110</v>
      </c>
      <c r="E27" s="50">
        <v>74310</v>
      </c>
      <c r="F27" s="50">
        <v>77125</v>
      </c>
      <c r="G27" s="56">
        <v>79885</v>
      </c>
      <c r="H27" s="50">
        <v>83675</v>
      </c>
      <c r="I27" s="50">
        <v>88080</v>
      </c>
      <c r="J27" s="50">
        <v>90990</v>
      </c>
      <c r="K27" s="50">
        <v>93180</v>
      </c>
      <c r="L27" s="50">
        <v>96410</v>
      </c>
      <c r="M27" s="50">
        <v>100340</v>
      </c>
      <c r="N27" s="50">
        <v>102340</v>
      </c>
      <c r="O27" s="50">
        <v>105370</v>
      </c>
      <c r="P27" s="50">
        <v>110710</v>
      </c>
      <c r="Q27" s="50">
        <v>113785</v>
      </c>
      <c r="R27" s="58">
        <v>117895</v>
      </c>
    </row>
    <row r="28" spans="1:18" ht="15" x14ac:dyDescent="0.15">
      <c r="A28" s="48" t="s">
        <v>79</v>
      </c>
      <c r="B28" s="93"/>
      <c r="C28" s="49">
        <v>321825</v>
      </c>
      <c r="D28" s="50">
        <v>324015</v>
      </c>
      <c r="E28" s="50">
        <v>330140</v>
      </c>
      <c r="F28" s="50">
        <v>352345</v>
      </c>
      <c r="G28" s="56">
        <v>366110</v>
      </c>
      <c r="H28" s="50">
        <v>395695</v>
      </c>
      <c r="I28" s="50">
        <v>435650</v>
      </c>
      <c r="J28" s="50">
        <v>458600</v>
      </c>
      <c r="K28" s="50">
        <v>478825</v>
      </c>
      <c r="L28" s="50">
        <v>468160</v>
      </c>
      <c r="M28" s="50">
        <v>471715</v>
      </c>
      <c r="N28" s="50">
        <v>467595</v>
      </c>
      <c r="O28" s="50">
        <v>452975</v>
      </c>
      <c r="P28" s="50">
        <v>430985</v>
      </c>
      <c r="Q28" s="50">
        <v>415250</v>
      </c>
      <c r="R28" s="58">
        <v>417615</v>
      </c>
    </row>
    <row r="29" spans="1:18" ht="15" x14ac:dyDescent="0.15">
      <c r="A29" s="48" t="s">
        <v>80</v>
      </c>
      <c r="B29" s="93"/>
      <c r="C29" s="49">
        <v>154800</v>
      </c>
      <c r="D29" s="50">
        <v>147370</v>
      </c>
      <c r="E29" s="50">
        <v>140505</v>
      </c>
      <c r="F29" s="50">
        <v>144095</v>
      </c>
      <c r="G29" s="56">
        <v>143250</v>
      </c>
      <c r="H29" s="50">
        <v>156825</v>
      </c>
      <c r="I29" s="50">
        <v>194245</v>
      </c>
      <c r="J29" s="50">
        <v>208465</v>
      </c>
      <c r="K29" s="50">
        <v>228185</v>
      </c>
      <c r="L29" s="50">
        <v>223570</v>
      </c>
      <c r="M29" s="50">
        <v>228750</v>
      </c>
      <c r="N29" s="50">
        <v>235755</v>
      </c>
      <c r="O29" s="50">
        <v>230220</v>
      </c>
      <c r="P29" s="50">
        <v>228840</v>
      </c>
      <c r="Q29" s="50">
        <v>226285</v>
      </c>
      <c r="R29" s="58">
        <v>226670</v>
      </c>
    </row>
    <row r="30" spans="1:18" ht="15" x14ac:dyDescent="0.15">
      <c r="A30" s="62" t="s">
        <v>81</v>
      </c>
      <c r="B30" s="93"/>
      <c r="C30" s="49">
        <v>2790</v>
      </c>
      <c r="D30" s="50">
        <v>2805</v>
      </c>
      <c r="E30" s="50">
        <v>2910</v>
      </c>
      <c r="F30" s="50">
        <v>4345</v>
      </c>
      <c r="G30" s="56">
        <v>5320</v>
      </c>
      <c r="H30" s="50">
        <v>5810</v>
      </c>
      <c r="I30" s="50">
        <v>6705</v>
      </c>
      <c r="J30" s="50">
        <v>6985</v>
      </c>
      <c r="K30" s="50">
        <v>7150</v>
      </c>
      <c r="L30" s="50">
        <v>7300</v>
      </c>
      <c r="M30" s="56">
        <v>7505</v>
      </c>
      <c r="N30" s="50">
        <v>7665</v>
      </c>
      <c r="O30" s="50">
        <v>7695</v>
      </c>
      <c r="P30" s="50">
        <v>7775</v>
      </c>
      <c r="Q30" s="50">
        <v>7805</v>
      </c>
      <c r="R30" s="58">
        <v>7845</v>
      </c>
    </row>
    <row r="31" spans="1:18" x14ac:dyDescent="0.15">
      <c r="A31" s="63" t="s">
        <v>82</v>
      </c>
      <c r="B31" s="94"/>
      <c r="C31" s="64">
        <v>30550</v>
      </c>
      <c r="D31" s="65">
        <v>31140</v>
      </c>
      <c r="E31" s="65">
        <v>31245</v>
      </c>
      <c r="F31" s="65">
        <v>33385</v>
      </c>
      <c r="G31" s="66">
        <v>34850</v>
      </c>
      <c r="H31" s="50">
        <v>37240</v>
      </c>
      <c r="I31" s="50">
        <v>40420</v>
      </c>
      <c r="J31" s="50">
        <v>41850</v>
      </c>
      <c r="K31" s="50">
        <v>48300</v>
      </c>
      <c r="L31" s="50">
        <v>43960</v>
      </c>
      <c r="M31" s="50">
        <v>44490</v>
      </c>
      <c r="N31" s="50">
        <v>45000</v>
      </c>
      <c r="O31" s="50">
        <v>45495</v>
      </c>
      <c r="P31" s="50">
        <v>46755</v>
      </c>
      <c r="Q31" s="50">
        <v>47340</v>
      </c>
      <c r="R31" s="58">
        <v>48000</v>
      </c>
    </row>
    <row r="32" spans="1:18" ht="15" x14ac:dyDescent="0.15">
      <c r="A32" s="62" t="s">
        <v>83</v>
      </c>
      <c r="B32" s="93"/>
      <c r="C32" s="64">
        <v>78405</v>
      </c>
      <c r="D32" s="65">
        <v>79935</v>
      </c>
      <c r="E32" s="65">
        <v>82895</v>
      </c>
      <c r="F32" s="65">
        <v>87985</v>
      </c>
      <c r="G32" s="65">
        <v>89440</v>
      </c>
      <c r="H32" s="50">
        <v>96235</v>
      </c>
      <c r="I32" s="50">
        <v>105670</v>
      </c>
      <c r="J32" s="50">
        <v>113475</v>
      </c>
      <c r="K32" s="50">
        <v>120105</v>
      </c>
      <c r="L32" s="50">
        <v>108425</v>
      </c>
      <c r="M32" s="50">
        <v>102000</v>
      </c>
      <c r="N32" s="50">
        <v>103265</v>
      </c>
      <c r="O32" s="50">
        <v>104550</v>
      </c>
      <c r="P32" s="50">
        <v>106175</v>
      </c>
      <c r="Q32" s="50">
        <v>109095</v>
      </c>
      <c r="R32" s="58">
        <v>113780</v>
      </c>
    </row>
    <row r="33" spans="1:90" ht="15" x14ac:dyDescent="0.15">
      <c r="A33" s="48" t="s">
        <v>84</v>
      </c>
      <c r="B33" s="93"/>
      <c r="C33" s="64">
        <v>154895</v>
      </c>
      <c r="D33" s="65">
        <v>150125</v>
      </c>
      <c r="E33" s="65">
        <v>145495</v>
      </c>
      <c r="F33" s="65">
        <v>150530</v>
      </c>
      <c r="G33" s="65">
        <v>145600</v>
      </c>
      <c r="H33" s="50">
        <v>147595</v>
      </c>
      <c r="I33" s="50">
        <v>165690</v>
      </c>
      <c r="J33" s="50">
        <v>168255</v>
      </c>
      <c r="K33" s="50">
        <v>168930</v>
      </c>
      <c r="L33" s="50">
        <v>170575</v>
      </c>
      <c r="M33" s="50">
        <v>174020</v>
      </c>
      <c r="N33" s="50">
        <v>175720</v>
      </c>
      <c r="O33" s="50">
        <v>176550</v>
      </c>
      <c r="P33" s="50">
        <v>180790</v>
      </c>
      <c r="Q33" s="50">
        <v>184420</v>
      </c>
      <c r="R33" s="58">
        <v>188115</v>
      </c>
    </row>
    <row r="34" spans="1:90" ht="15" x14ac:dyDescent="0.15">
      <c r="A34" s="67" t="s">
        <v>66</v>
      </c>
      <c r="B34" s="93"/>
      <c r="C34" s="64" t="s">
        <v>66</v>
      </c>
      <c r="D34" s="65" t="s">
        <v>66</v>
      </c>
      <c r="E34" s="65" t="s">
        <v>66</v>
      </c>
      <c r="F34" s="65"/>
      <c r="G34" s="65" t="s">
        <v>66</v>
      </c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8"/>
    </row>
    <row r="35" spans="1:90" x14ac:dyDescent="0.2">
      <c r="A35" s="68" t="s">
        <v>11</v>
      </c>
      <c r="B35" s="95"/>
      <c r="C35" s="69">
        <v>2152400</v>
      </c>
      <c r="D35" s="69">
        <v>2100370</v>
      </c>
      <c r="E35" s="69">
        <v>2080860</v>
      </c>
      <c r="F35" s="69">
        <v>2149190</v>
      </c>
      <c r="G35" s="69">
        <v>2167580</v>
      </c>
      <c r="H35" s="69">
        <v>2263645</v>
      </c>
      <c r="I35" s="69">
        <v>2449415</v>
      </c>
      <c r="J35" s="69">
        <v>2554510</v>
      </c>
      <c r="K35" s="69">
        <v>2668810</v>
      </c>
      <c r="L35" s="69">
        <v>2669440</v>
      </c>
      <c r="M35" s="69">
        <v>2718435</v>
      </c>
      <c r="N35" s="69">
        <v>2749700</v>
      </c>
      <c r="O35" s="69">
        <v>2765150</v>
      </c>
      <c r="P35" s="69">
        <v>2767700</v>
      </c>
      <c r="Q35" s="69">
        <v>2726830</v>
      </c>
      <c r="R35" s="70">
        <v>2724770</v>
      </c>
    </row>
    <row r="36" spans="1:90" x14ac:dyDescent="0.15">
      <c r="A36" s="71"/>
      <c r="B36" s="69"/>
      <c r="C36" s="69"/>
      <c r="D36" s="69"/>
      <c r="E36" s="69"/>
      <c r="F36" s="72"/>
      <c r="G36" s="50"/>
      <c r="H36" s="50"/>
      <c r="I36" s="50"/>
      <c r="J36" s="50"/>
      <c r="K36" s="50"/>
      <c r="L36" s="73"/>
      <c r="M36" s="50"/>
      <c r="N36" s="50"/>
      <c r="O36" s="50"/>
      <c r="P36" s="50"/>
      <c r="Q36" s="74"/>
    </row>
    <row r="37" spans="1:90" ht="15" x14ac:dyDescent="0.15">
      <c r="A37" s="75" t="s">
        <v>85</v>
      </c>
      <c r="B37" s="76"/>
      <c r="C37" s="77">
        <v>-2.4173016167998499E-2</v>
      </c>
      <c r="D37" s="77">
        <v>-9.2888359589999997E-3</v>
      </c>
      <c r="E37" s="78" t="s">
        <v>86</v>
      </c>
      <c r="F37" s="78" t="s">
        <v>87</v>
      </c>
      <c r="G37" s="79" t="s">
        <v>88</v>
      </c>
      <c r="H37" s="79" t="s">
        <v>89</v>
      </c>
      <c r="I37" s="80" t="s">
        <v>90</v>
      </c>
      <c r="J37" s="80" t="s">
        <v>91</v>
      </c>
      <c r="K37" s="81">
        <v>2.3606026656075178E-4</v>
      </c>
      <c r="L37" s="80" t="s">
        <v>92</v>
      </c>
      <c r="M37" s="80" t="s">
        <v>93</v>
      </c>
      <c r="N37" s="80" t="s">
        <v>94</v>
      </c>
      <c r="O37" s="80">
        <v>9.2219228613275904E-4</v>
      </c>
      <c r="P37" s="82">
        <v>-1.4766773855547928E-2</v>
      </c>
      <c r="Q37" s="83">
        <v>-7.5545596901897079E-4</v>
      </c>
    </row>
    <row r="38" spans="1:90" s="8" customFormat="1" x14ac:dyDescent="0.2">
      <c r="A38" s="101" t="s">
        <v>112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U38" s="9"/>
    </row>
    <row r="39" spans="1:90" s="8" customFormat="1" x14ac:dyDescent="0.2">
      <c r="A39" s="10" t="s">
        <v>30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7"/>
      <c r="U39" s="9"/>
    </row>
    <row r="40" spans="1:90" s="8" customFormat="1" x14ac:dyDescent="0.2">
      <c r="A40" s="10" t="s">
        <v>31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U40" s="9"/>
    </row>
    <row r="41" spans="1:90" ht="14" customHeight="1" x14ac:dyDescent="0.2">
      <c r="A41" s="125"/>
      <c r="B41" s="120" t="s">
        <v>32</v>
      </c>
      <c r="C41" s="121"/>
      <c r="D41" s="121"/>
      <c r="E41" s="121"/>
      <c r="F41" s="121"/>
      <c r="G41" s="121"/>
      <c r="H41" s="121"/>
      <c r="I41" s="121"/>
      <c r="J41" s="121"/>
      <c r="K41" s="121"/>
      <c r="L41" s="122"/>
      <c r="M41" s="120" t="s">
        <v>33</v>
      </c>
      <c r="N41" s="121"/>
      <c r="O41" s="121"/>
      <c r="P41" s="121"/>
      <c r="Q41" s="121"/>
      <c r="R41" s="121"/>
      <c r="S41" s="121"/>
      <c r="T41" s="121"/>
      <c r="U41" s="121"/>
      <c r="V41" s="121"/>
      <c r="W41" s="122"/>
      <c r="X41" s="120" t="s">
        <v>34</v>
      </c>
      <c r="Y41" s="121"/>
      <c r="Z41" s="121"/>
      <c r="AA41" s="121"/>
      <c r="AB41" s="121"/>
      <c r="AC41" s="121"/>
      <c r="AD41" s="121"/>
      <c r="AE41" s="121"/>
      <c r="AF41" s="121"/>
      <c r="AG41" s="121"/>
      <c r="AH41" s="122"/>
      <c r="AI41" s="120" t="s">
        <v>35</v>
      </c>
      <c r="AJ41" s="121"/>
      <c r="AK41" s="121"/>
      <c r="AL41" s="121"/>
      <c r="AM41" s="121"/>
      <c r="AN41" s="121"/>
      <c r="AO41" s="121"/>
      <c r="AP41" s="121"/>
      <c r="AQ41" s="121"/>
      <c r="AR41" s="121"/>
      <c r="AS41" s="122"/>
      <c r="AT41" s="120" t="s">
        <v>36</v>
      </c>
      <c r="AU41" s="121"/>
      <c r="AV41" s="121"/>
      <c r="AW41" s="121"/>
      <c r="AX41" s="121"/>
      <c r="AY41" s="121"/>
      <c r="AZ41" s="121"/>
      <c r="BA41" s="121"/>
      <c r="BB41" s="121"/>
      <c r="BC41" s="121"/>
      <c r="BD41" s="122"/>
      <c r="BE41" s="120" t="s">
        <v>37</v>
      </c>
      <c r="BF41" s="121"/>
      <c r="BG41" s="121"/>
      <c r="BH41" s="121"/>
      <c r="BI41" s="121"/>
      <c r="BJ41" s="121"/>
      <c r="BK41" s="121"/>
      <c r="BL41" s="121"/>
      <c r="BM41" s="121"/>
      <c r="BN41" s="121"/>
      <c r="BO41" s="122"/>
      <c r="BP41" s="120" t="s">
        <v>38</v>
      </c>
      <c r="BQ41" s="121"/>
      <c r="BR41" s="121"/>
      <c r="BS41" s="121"/>
      <c r="BT41" s="121"/>
      <c r="BU41" s="121"/>
      <c r="BV41" s="121"/>
      <c r="BW41" s="121"/>
      <c r="BX41" s="121"/>
      <c r="BY41" s="121"/>
      <c r="BZ41" s="122"/>
      <c r="CA41" s="120" t="s">
        <v>11</v>
      </c>
      <c r="CB41" s="121"/>
      <c r="CC41" s="121"/>
      <c r="CD41" s="121"/>
      <c r="CE41" s="121"/>
      <c r="CF41" s="121"/>
      <c r="CG41" s="121"/>
      <c r="CH41" s="121"/>
      <c r="CI41" s="121"/>
      <c r="CJ41" s="121"/>
      <c r="CK41" s="122"/>
    </row>
    <row r="42" spans="1:90" ht="30" x14ac:dyDescent="0.2">
      <c r="A42" s="126"/>
      <c r="B42" s="96"/>
      <c r="C42" s="13" t="s">
        <v>103</v>
      </c>
      <c r="D42" s="14" t="s">
        <v>39</v>
      </c>
      <c r="E42" s="14" t="s">
        <v>40</v>
      </c>
      <c r="F42" s="14" t="s">
        <v>104</v>
      </c>
      <c r="G42" s="14" t="s">
        <v>105</v>
      </c>
      <c r="H42" s="14" t="s">
        <v>106</v>
      </c>
      <c r="I42" s="14" t="s">
        <v>107</v>
      </c>
      <c r="J42" s="14" t="s">
        <v>108</v>
      </c>
      <c r="K42" s="14" t="s">
        <v>109</v>
      </c>
      <c r="L42" s="14" t="s">
        <v>110</v>
      </c>
      <c r="M42" s="15" t="s">
        <v>11</v>
      </c>
      <c r="N42" s="13" t="s">
        <v>103</v>
      </c>
      <c r="O42" s="14" t="s">
        <v>39</v>
      </c>
      <c r="P42" s="14" t="s">
        <v>40</v>
      </c>
      <c r="Q42" s="14" t="s">
        <v>104</v>
      </c>
      <c r="R42" s="14" t="s">
        <v>105</v>
      </c>
      <c r="S42" s="14" t="s">
        <v>106</v>
      </c>
      <c r="T42" s="14" t="s">
        <v>107</v>
      </c>
      <c r="U42" s="14" t="s">
        <v>108</v>
      </c>
      <c r="V42" s="14" t="s">
        <v>109</v>
      </c>
      <c r="W42" s="14" t="s">
        <v>110</v>
      </c>
      <c r="X42" s="15" t="s">
        <v>11</v>
      </c>
      <c r="Y42" s="13" t="s">
        <v>103</v>
      </c>
      <c r="Z42" s="14" t="s">
        <v>39</v>
      </c>
      <c r="AA42" s="14" t="s">
        <v>40</v>
      </c>
      <c r="AB42" s="14" t="s">
        <v>104</v>
      </c>
      <c r="AC42" s="14" t="s">
        <v>105</v>
      </c>
      <c r="AD42" s="14" t="s">
        <v>106</v>
      </c>
      <c r="AE42" s="14" t="s">
        <v>107</v>
      </c>
      <c r="AF42" s="14" t="s">
        <v>108</v>
      </c>
      <c r="AG42" s="14" t="s">
        <v>109</v>
      </c>
      <c r="AH42" s="14" t="s">
        <v>110</v>
      </c>
      <c r="AI42" s="15" t="s">
        <v>11</v>
      </c>
      <c r="AJ42" s="13" t="s">
        <v>103</v>
      </c>
      <c r="AK42" s="14" t="s">
        <v>39</v>
      </c>
      <c r="AL42" s="14" t="s">
        <v>40</v>
      </c>
      <c r="AM42" s="14" t="s">
        <v>104</v>
      </c>
      <c r="AN42" s="14" t="s">
        <v>105</v>
      </c>
      <c r="AO42" s="14" t="s">
        <v>106</v>
      </c>
      <c r="AP42" s="14" t="s">
        <v>107</v>
      </c>
      <c r="AQ42" s="14" t="s">
        <v>108</v>
      </c>
      <c r="AR42" s="14" t="s">
        <v>109</v>
      </c>
      <c r="AS42" s="14" t="s">
        <v>110</v>
      </c>
      <c r="AT42" s="15" t="s">
        <v>11</v>
      </c>
      <c r="AU42" s="13" t="s">
        <v>103</v>
      </c>
      <c r="AV42" s="14" t="s">
        <v>39</v>
      </c>
      <c r="AW42" s="14" t="s">
        <v>40</v>
      </c>
      <c r="AX42" s="14" t="s">
        <v>104</v>
      </c>
      <c r="AY42" s="14" t="s">
        <v>105</v>
      </c>
      <c r="AZ42" s="14" t="s">
        <v>106</v>
      </c>
      <c r="BA42" s="14" t="s">
        <v>107</v>
      </c>
      <c r="BB42" s="14" t="s">
        <v>108</v>
      </c>
      <c r="BC42" s="14" t="s">
        <v>109</v>
      </c>
      <c r="BD42" s="14" t="s">
        <v>110</v>
      </c>
      <c r="BE42" s="15" t="s">
        <v>11</v>
      </c>
      <c r="BF42" s="13" t="s">
        <v>103</v>
      </c>
      <c r="BG42" s="14" t="s">
        <v>39</v>
      </c>
      <c r="BH42" s="14" t="s">
        <v>40</v>
      </c>
      <c r="BI42" s="14" t="s">
        <v>104</v>
      </c>
      <c r="BJ42" s="14" t="s">
        <v>105</v>
      </c>
      <c r="BK42" s="14" t="s">
        <v>106</v>
      </c>
      <c r="BL42" s="14" t="s">
        <v>107</v>
      </c>
      <c r="BM42" s="14" t="s">
        <v>108</v>
      </c>
      <c r="BN42" s="14" t="s">
        <v>109</v>
      </c>
      <c r="BO42" s="14" t="s">
        <v>110</v>
      </c>
      <c r="BP42" s="15" t="s">
        <v>11</v>
      </c>
      <c r="BQ42" s="13" t="s">
        <v>103</v>
      </c>
      <c r="BR42" s="14" t="s">
        <v>39</v>
      </c>
      <c r="BS42" s="14" t="s">
        <v>40</v>
      </c>
      <c r="BT42" s="14" t="s">
        <v>104</v>
      </c>
      <c r="BU42" s="14" t="s">
        <v>105</v>
      </c>
      <c r="BV42" s="14" t="s">
        <v>106</v>
      </c>
      <c r="BW42" s="14" t="s">
        <v>107</v>
      </c>
      <c r="BX42" s="14" t="s">
        <v>108</v>
      </c>
      <c r="BY42" s="14" t="s">
        <v>109</v>
      </c>
      <c r="BZ42" s="14" t="s">
        <v>110</v>
      </c>
      <c r="CA42" s="15" t="s">
        <v>11</v>
      </c>
      <c r="CB42" s="13" t="s">
        <v>103</v>
      </c>
      <c r="CC42" s="14" t="s">
        <v>39</v>
      </c>
      <c r="CD42" s="14" t="s">
        <v>40</v>
      </c>
      <c r="CE42" s="14" t="s">
        <v>104</v>
      </c>
      <c r="CF42" s="14" t="s">
        <v>105</v>
      </c>
      <c r="CG42" s="14" t="s">
        <v>106</v>
      </c>
      <c r="CH42" s="14" t="s">
        <v>107</v>
      </c>
      <c r="CI42" s="14" t="s">
        <v>108</v>
      </c>
      <c r="CJ42" s="14" t="s">
        <v>109</v>
      </c>
      <c r="CK42" s="14" t="s">
        <v>110</v>
      </c>
      <c r="CL42" s="15" t="s">
        <v>11</v>
      </c>
    </row>
    <row r="43" spans="1:90" ht="15" x14ac:dyDescent="0.15">
      <c r="A43" s="97" t="s">
        <v>41</v>
      </c>
      <c r="B43" s="99"/>
      <c r="C43" s="17">
        <v>3395</v>
      </c>
      <c r="D43" s="17">
        <v>3780</v>
      </c>
      <c r="E43" s="17">
        <v>5750</v>
      </c>
      <c r="F43" s="17">
        <v>3625</v>
      </c>
      <c r="G43" s="17">
        <v>3220</v>
      </c>
      <c r="H43" s="17">
        <v>2400</v>
      </c>
      <c r="I43" s="17">
        <v>1615</v>
      </c>
      <c r="J43" s="17">
        <v>525</v>
      </c>
      <c r="K43" s="17">
        <v>310</v>
      </c>
      <c r="L43" s="17">
        <v>50</v>
      </c>
      <c r="M43" s="18">
        <v>24670</v>
      </c>
      <c r="N43" s="17">
        <v>23635</v>
      </c>
      <c r="O43" s="17">
        <v>13250</v>
      </c>
      <c r="P43" s="17">
        <v>10070</v>
      </c>
      <c r="Q43" s="17">
        <v>3675</v>
      </c>
      <c r="R43" s="17">
        <v>1625</v>
      </c>
      <c r="S43" s="17">
        <v>480</v>
      </c>
      <c r="T43" s="17">
        <v>175</v>
      </c>
      <c r="U43" s="17">
        <v>30</v>
      </c>
      <c r="V43" s="17">
        <v>5</v>
      </c>
      <c r="W43" s="17">
        <v>0</v>
      </c>
      <c r="X43" s="18">
        <v>52945</v>
      </c>
      <c r="Y43" s="17">
        <v>17340</v>
      </c>
      <c r="Z43" s="17">
        <v>8710</v>
      </c>
      <c r="AA43" s="17">
        <v>15825</v>
      </c>
      <c r="AB43" s="17">
        <v>10155</v>
      </c>
      <c r="AC43" s="17">
        <v>6725</v>
      </c>
      <c r="AD43" s="17">
        <v>2990</v>
      </c>
      <c r="AE43" s="17">
        <v>940</v>
      </c>
      <c r="AF43" s="17">
        <v>130</v>
      </c>
      <c r="AG43" s="17">
        <v>45</v>
      </c>
      <c r="AH43" s="17">
        <v>0</v>
      </c>
      <c r="AI43" s="18">
        <v>62860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18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5</v>
      </c>
      <c r="BE43" s="18">
        <v>5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>
        <v>0</v>
      </c>
      <c r="BL43" s="17">
        <v>0</v>
      </c>
      <c r="BM43" s="17">
        <v>0</v>
      </c>
      <c r="BN43" s="17">
        <v>0</v>
      </c>
      <c r="BO43" s="17">
        <v>0</v>
      </c>
      <c r="BP43" s="18">
        <v>0</v>
      </c>
      <c r="BQ43" s="17">
        <v>180</v>
      </c>
      <c r="BR43" s="17">
        <v>135</v>
      </c>
      <c r="BS43" s="17">
        <v>195</v>
      </c>
      <c r="BT43" s="17">
        <v>110</v>
      </c>
      <c r="BU43" s="17">
        <v>85</v>
      </c>
      <c r="BV43" s="17">
        <v>35</v>
      </c>
      <c r="BW43" s="17">
        <v>25</v>
      </c>
      <c r="BX43" s="17">
        <v>5</v>
      </c>
      <c r="BY43" s="17">
        <v>5</v>
      </c>
      <c r="BZ43" s="17">
        <v>0</v>
      </c>
      <c r="CA43" s="18">
        <v>775</v>
      </c>
      <c r="CB43" s="18">
        <v>44550</v>
      </c>
      <c r="CC43" s="18">
        <v>25875</v>
      </c>
      <c r="CD43" s="18">
        <v>31840</v>
      </c>
      <c r="CE43" s="18">
        <v>17565</v>
      </c>
      <c r="CF43" s="18">
        <v>11655</v>
      </c>
      <c r="CG43" s="18">
        <v>5905</v>
      </c>
      <c r="CH43" s="18">
        <v>2755</v>
      </c>
      <c r="CI43" s="18">
        <v>690</v>
      </c>
      <c r="CJ43" s="18">
        <v>365</v>
      </c>
      <c r="CK43" s="18">
        <v>55</v>
      </c>
      <c r="CL43" s="18">
        <v>141255</v>
      </c>
    </row>
    <row r="44" spans="1:90" ht="15" x14ac:dyDescent="0.15">
      <c r="A44" s="97" t="s">
        <v>42</v>
      </c>
      <c r="B44" s="99"/>
      <c r="C44" s="17">
        <v>12495</v>
      </c>
      <c r="D44" s="17">
        <v>20800</v>
      </c>
      <c r="E44" s="17">
        <v>29805</v>
      </c>
      <c r="F44" s="17">
        <v>16440</v>
      </c>
      <c r="G44" s="17">
        <v>13880</v>
      </c>
      <c r="H44" s="17">
        <v>10775</v>
      </c>
      <c r="I44" s="17">
        <v>9860</v>
      </c>
      <c r="J44" s="17">
        <v>4685</v>
      </c>
      <c r="K44" s="17">
        <v>5195</v>
      </c>
      <c r="L44" s="17">
        <v>1805</v>
      </c>
      <c r="M44" s="18">
        <v>125740</v>
      </c>
      <c r="N44" s="17">
        <v>3965</v>
      </c>
      <c r="O44" s="17">
        <v>4205</v>
      </c>
      <c r="P44" s="17">
        <v>6380</v>
      </c>
      <c r="Q44" s="17">
        <v>1520</v>
      </c>
      <c r="R44" s="17">
        <v>460</v>
      </c>
      <c r="S44" s="17">
        <v>110</v>
      </c>
      <c r="T44" s="17">
        <v>35</v>
      </c>
      <c r="U44" s="17">
        <v>5</v>
      </c>
      <c r="V44" s="17">
        <v>0</v>
      </c>
      <c r="W44" s="17">
        <v>0</v>
      </c>
      <c r="X44" s="18">
        <v>16680</v>
      </c>
      <c r="Y44" s="17">
        <v>820</v>
      </c>
      <c r="Z44" s="17">
        <v>955</v>
      </c>
      <c r="AA44" s="17">
        <v>1820</v>
      </c>
      <c r="AB44" s="17">
        <v>955</v>
      </c>
      <c r="AC44" s="17">
        <v>440</v>
      </c>
      <c r="AD44" s="17">
        <v>180</v>
      </c>
      <c r="AE44" s="17">
        <v>80</v>
      </c>
      <c r="AF44" s="17">
        <v>25</v>
      </c>
      <c r="AG44" s="17">
        <v>20</v>
      </c>
      <c r="AH44" s="17">
        <v>5</v>
      </c>
      <c r="AI44" s="18">
        <v>5300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5</v>
      </c>
      <c r="AQ44" s="17">
        <v>0</v>
      </c>
      <c r="AR44" s="17">
        <v>0</v>
      </c>
      <c r="AS44" s="17">
        <v>5</v>
      </c>
      <c r="AT44" s="18">
        <v>10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10</v>
      </c>
      <c r="BE44" s="18">
        <v>10</v>
      </c>
      <c r="BF44" s="17">
        <v>5</v>
      </c>
      <c r="BG44" s="17">
        <v>10</v>
      </c>
      <c r="BH44" s="17">
        <v>10</v>
      </c>
      <c r="BI44" s="17">
        <v>5</v>
      </c>
      <c r="BJ44" s="17">
        <v>10</v>
      </c>
      <c r="BK44" s="17">
        <v>5</v>
      </c>
      <c r="BL44" s="17">
        <v>0</v>
      </c>
      <c r="BM44" s="17">
        <v>0</v>
      </c>
      <c r="BN44" s="17">
        <v>5</v>
      </c>
      <c r="BO44" s="17">
        <v>0</v>
      </c>
      <c r="BP44" s="18">
        <v>50</v>
      </c>
      <c r="BQ44" s="17">
        <v>85</v>
      </c>
      <c r="BR44" s="17">
        <v>80</v>
      </c>
      <c r="BS44" s="17">
        <v>120</v>
      </c>
      <c r="BT44" s="17">
        <v>75</v>
      </c>
      <c r="BU44" s="17">
        <v>50</v>
      </c>
      <c r="BV44" s="17">
        <v>25</v>
      </c>
      <c r="BW44" s="17">
        <v>10</v>
      </c>
      <c r="BX44" s="17">
        <v>0</v>
      </c>
      <c r="BY44" s="17">
        <v>5</v>
      </c>
      <c r="BZ44" s="17">
        <v>0</v>
      </c>
      <c r="CA44" s="18">
        <v>450</v>
      </c>
      <c r="CB44" s="18">
        <v>17370</v>
      </c>
      <c r="CC44" s="18">
        <v>26050</v>
      </c>
      <c r="CD44" s="18">
        <v>38135</v>
      </c>
      <c r="CE44" s="18">
        <v>18995</v>
      </c>
      <c r="CF44" s="18">
        <v>14840</v>
      </c>
      <c r="CG44" s="18">
        <v>11095</v>
      </c>
      <c r="CH44" s="18">
        <v>9990</v>
      </c>
      <c r="CI44" s="18">
        <v>4715</v>
      </c>
      <c r="CJ44" s="18">
        <v>5225</v>
      </c>
      <c r="CK44" s="18">
        <v>1825</v>
      </c>
      <c r="CL44" s="18">
        <v>148240</v>
      </c>
    </row>
    <row r="45" spans="1:90" ht="15" x14ac:dyDescent="0.15">
      <c r="A45" s="97" t="s">
        <v>43</v>
      </c>
      <c r="B45" s="99"/>
      <c r="C45" s="17">
        <v>22160</v>
      </c>
      <c r="D45" s="17">
        <v>56095</v>
      </c>
      <c r="E45" s="17">
        <v>103515</v>
      </c>
      <c r="F45" s="17">
        <v>53750</v>
      </c>
      <c r="G45" s="17">
        <v>33820</v>
      </c>
      <c r="H45" s="17">
        <v>18850</v>
      </c>
      <c r="I45" s="17">
        <v>12560</v>
      </c>
      <c r="J45" s="17">
        <v>4155</v>
      </c>
      <c r="K45" s="17">
        <v>3180</v>
      </c>
      <c r="L45" s="17">
        <v>635</v>
      </c>
      <c r="M45" s="18">
        <v>308720</v>
      </c>
      <c r="N45" s="17">
        <v>8750</v>
      </c>
      <c r="O45" s="17">
        <v>15895</v>
      </c>
      <c r="P45" s="17">
        <v>24630</v>
      </c>
      <c r="Q45" s="17">
        <v>7145</v>
      </c>
      <c r="R45" s="17">
        <v>1910</v>
      </c>
      <c r="S45" s="17">
        <v>345</v>
      </c>
      <c r="T45" s="17">
        <v>75</v>
      </c>
      <c r="U45" s="17">
        <v>5</v>
      </c>
      <c r="V45" s="17">
        <v>5</v>
      </c>
      <c r="W45" s="17">
        <v>0</v>
      </c>
      <c r="X45" s="18">
        <v>58760</v>
      </c>
      <c r="Y45" s="17">
        <v>1635</v>
      </c>
      <c r="Z45" s="17">
        <v>2285</v>
      </c>
      <c r="AA45" s="17">
        <v>4690</v>
      </c>
      <c r="AB45" s="17">
        <v>1930</v>
      </c>
      <c r="AC45" s="17">
        <v>1025</v>
      </c>
      <c r="AD45" s="17">
        <v>315</v>
      </c>
      <c r="AE45" s="17">
        <v>105</v>
      </c>
      <c r="AF45" s="17">
        <v>30</v>
      </c>
      <c r="AG45" s="17">
        <v>30</v>
      </c>
      <c r="AH45" s="17">
        <v>25</v>
      </c>
      <c r="AI45" s="18">
        <v>12070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8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8">
        <v>0</v>
      </c>
      <c r="BF45" s="17">
        <v>5</v>
      </c>
      <c r="BG45" s="17">
        <v>0</v>
      </c>
      <c r="BH45" s="17">
        <v>0</v>
      </c>
      <c r="BI45" s="17">
        <v>5</v>
      </c>
      <c r="BJ45" s="17">
        <v>0</v>
      </c>
      <c r="BK45" s="17">
        <v>5</v>
      </c>
      <c r="BL45" s="17">
        <v>0</v>
      </c>
      <c r="BM45" s="17">
        <v>0</v>
      </c>
      <c r="BN45" s="17">
        <v>0</v>
      </c>
      <c r="BO45" s="17">
        <v>0</v>
      </c>
      <c r="BP45" s="18">
        <v>15</v>
      </c>
      <c r="BQ45" s="17">
        <v>190</v>
      </c>
      <c r="BR45" s="17">
        <v>110</v>
      </c>
      <c r="BS45" s="17">
        <v>140</v>
      </c>
      <c r="BT45" s="17">
        <v>70</v>
      </c>
      <c r="BU45" s="17">
        <v>60</v>
      </c>
      <c r="BV45" s="17">
        <v>25</v>
      </c>
      <c r="BW45" s="17">
        <v>25</v>
      </c>
      <c r="BX45" s="17">
        <v>5</v>
      </c>
      <c r="BY45" s="17">
        <v>10</v>
      </c>
      <c r="BZ45" s="17">
        <v>0</v>
      </c>
      <c r="CA45" s="18">
        <v>635</v>
      </c>
      <c r="CB45" s="18">
        <v>32740</v>
      </c>
      <c r="CC45" s="18">
        <v>74385</v>
      </c>
      <c r="CD45" s="18">
        <v>132975</v>
      </c>
      <c r="CE45" s="18">
        <v>62900</v>
      </c>
      <c r="CF45" s="18">
        <v>36815</v>
      </c>
      <c r="CG45" s="18">
        <v>19540</v>
      </c>
      <c r="CH45" s="18">
        <v>12765</v>
      </c>
      <c r="CI45" s="18">
        <v>4195</v>
      </c>
      <c r="CJ45" s="18">
        <v>3225</v>
      </c>
      <c r="CK45" s="18">
        <v>660</v>
      </c>
      <c r="CL45" s="18">
        <v>380200</v>
      </c>
    </row>
    <row r="46" spans="1:90" ht="15" x14ac:dyDescent="0.15">
      <c r="A46" s="97" t="s">
        <v>44</v>
      </c>
      <c r="B46" s="99"/>
      <c r="C46" s="17">
        <v>3315</v>
      </c>
      <c r="D46" s="17">
        <v>9180</v>
      </c>
      <c r="E46" s="17">
        <v>17235</v>
      </c>
      <c r="F46" s="17">
        <v>11680</v>
      </c>
      <c r="G46" s="17">
        <v>7280</v>
      </c>
      <c r="H46" s="17">
        <v>4430</v>
      </c>
      <c r="I46" s="17">
        <v>3425</v>
      </c>
      <c r="J46" s="17">
        <v>1325</v>
      </c>
      <c r="K46" s="17">
        <v>1260</v>
      </c>
      <c r="L46" s="17">
        <v>435</v>
      </c>
      <c r="M46" s="18">
        <v>59565</v>
      </c>
      <c r="N46" s="17">
        <v>2045</v>
      </c>
      <c r="O46" s="17">
        <v>3135</v>
      </c>
      <c r="P46" s="17">
        <v>7120</v>
      </c>
      <c r="Q46" s="17">
        <v>2665</v>
      </c>
      <c r="R46" s="17">
        <v>1050</v>
      </c>
      <c r="S46" s="17">
        <v>395</v>
      </c>
      <c r="T46" s="17">
        <v>130</v>
      </c>
      <c r="U46" s="17">
        <v>20</v>
      </c>
      <c r="V46" s="17">
        <v>10</v>
      </c>
      <c r="W46" s="17">
        <v>0</v>
      </c>
      <c r="X46" s="18">
        <v>16570</v>
      </c>
      <c r="Y46" s="17">
        <v>330</v>
      </c>
      <c r="Z46" s="17">
        <v>595</v>
      </c>
      <c r="AA46" s="17">
        <v>1895</v>
      </c>
      <c r="AB46" s="17">
        <v>1335</v>
      </c>
      <c r="AC46" s="17">
        <v>700</v>
      </c>
      <c r="AD46" s="17">
        <v>330</v>
      </c>
      <c r="AE46" s="17">
        <v>190</v>
      </c>
      <c r="AF46" s="17">
        <v>40</v>
      </c>
      <c r="AG46" s="17">
        <v>25</v>
      </c>
      <c r="AH46" s="17">
        <v>0</v>
      </c>
      <c r="AI46" s="18">
        <v>5440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0</v>
      </c>
      <c r="AS46" s="17">
        <v>0</v>
      </c>
      <c r="AT46" s="18">
        <v>0</v>
      </c>
      <c r="AU46" s="17">
        <v>0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8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0</v>
      </c>
      <c r="BO46" s="17">
        <v>0</v>
      </c>
      <c r="BP46" s="18">
        <v>0</v>
      </c>
      <c r="BQ46" s="17">
        <v>10</v>
      </c>
      <c r="BR46" s="17">
        <v>15</v>
      </c>
      <c r="BS46" s="17">
        <v>20</v>
      </c>
      <c r="BT46" s="17">
        <v>10</v>
      </c>
      <c r="BU46" s="17">
        <v>0</v>
      </c>
      <c r="BV46" s="17">
        <v>0</v>
      </c>
      <c r="BW46" s="17">
        <v>0</v>
      </c>
      <c r="BX46" s="17">
        <v>0</v>
      </c>
      <c r="BY46" s="17">
        <v>0</v>
      </c>
      <c r="BZ46" s="17">
        <v>0</v>
      </c>
      <c r="CA46" s="18">
        <v>55</v>
      </c>
      <c r="CB46" s="18">
        <v>5700</v>
      </c>
      <c r="CC46" s="18">
        <v>12925</v>
      </c>
      <c r="CD46" s="18">
        <v>26270</v>
      </c>
      <c r="CE46" s="18">
        <v>15690</v>
      </c>
      <c r="CF46" s="18">
        <v>9030</v>
      </c>
      <c r="CG46" s="18">
        <v>5155</v>
      </c>
      <c r="CH46" s="18">
        <v>3745</v>
      </c>
      <c r="CI46" s="18">
        <v>1385</v>
      </c>
      <c r="CJ46" s="18">
        <v>1295</v>
      </c>
      <c r="CK46" s="18">
        <v>435</v>
      </c>
      <c r="CL46" s="18">
        <v>81630</v>
      </c>
    </row>
    <row r="47" spans="1:90" ht="15" x14ac:dyDescent="0.15">
      <c r="A47" s="97" t="s">
        <v>45</v>
      </c>
      <c r="B47" s="99"/>
      <c r="C47" s="17">
        <v>9860</v>
      </c>
      <c r="D47" s="17">
        <v>7860</v>
      </c>
      <c r="E47" s="17">
        <v>16475</v>
      </c>
      <c r="F47" s="17">
        <v>12840</v>
      </c>
      <c r="G47" s="17">
        <v>11635</v>
      </c>
      <c r="H47" s="17">
        <v>9650</v>
      </c>
      <c r="I47" s="17">
        <v>9700</v>
      </c>
      <c r="J47" s="17">
        <v>4995</v>
      </c>
      <c r="K47" s="17">
        <v>5195</v>
      </c>
      <c r="L47" s="17">
        <v>1650</v>
      </c>
      <c r="M47" s="18">
        <v>89860</v>
      </c>
      <c r="N47" s="17">
        <v>2110</v>
      </c>
      <c r="O47" s="17">
        <v>1665</v>
      </c>
      <c r="P47" s="17">
        <v>2235</v>
      </c>
      <c r="Q47" s="17">
        <v>985</v>
      </c>
      <c r="R47" s="17">
        <v>605</v>
      </c>
      <c r="S47" s="17">
        <v>305</v>
      </c>
      <c r="T47" s="17">
        <v>130</v>
      </c>
      <c r="U47" s="17">
        <v>20</v>
      </c>
      <c r="V47" s="17">
        <v>5</v>
      </c>
      <c r="W47" s="17">
        <v>0</v>
      </c>
      <c r="X47" s="18">
        <v>8060</v>
      </c>
      <c r="Y47" s="17">
        <v>560</v>
      </c>
      <c r="Z47" s="17">
        <v>485</v>
      </c>
      <c r="AA47" s="17">
        <v>965</v>
      </c>
      <c r="AB47" s="17">
        <v>605</v>
      </c>
      <c r="AC47" s="17">
        <v>510</v>
      </c>
      <c r="AD47" s="17">
        <v>375</v>
      </c>
      <c r="AE47" s="17">
        <v>210</v>
      </c>
      <c r="AF47" s="17">
        <v>90</v>
      </c>
      <c r="AG47" s="17">
        <v>45</v>
      </c>
      <c r="AH47" s="17">
        <v>5</v>
      </c>
      <c r="AI47" s="18">
        <v>3850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8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8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</v>
      </c>
      <c r="BM47" s="17">
        <v>0</v>
      </c>
      <c r="BN47" s="17">
        <v>0</v>
      </c>
      <c r="BO47" s="17">
        <v>0</v>
      </c>
      <c r="BP47" s="18">
        <v>0</v>
      </c>
      <c r="BQ47" s="17">
        <v>35</v>
      </c>
      <c r="BR47" s="17">
        <v>25</v>
      </c>
      <c r="BS47" s="17">
        <v>25</v>
      </c>
      <c r="BT47" s="17">
        <v>40</v>
      </c>
      <c r="BU47" s="17">
        <v>20</v>
      </c>
      <c r="BV47" s="17">
        <v>10</v>
      </c>
      <c r="BW47" s="17">
        <v>10</v>
      </c>
      <c r="BX47" s="17">
        <v>5</v>
      </c>
      <c r="BY47" s="17">
        <v>15</v>
      </c>
      <c r="BZ47" s="17">
        <v>5</v>
      </c>
      <c r="CA47" s="18">
        <v>190</v>
      </c>
      <c r="CB47" s="18">
        <v>12565</v>
      </c>
      <c r="CC47" s="18">
        <v>10035</v>
      </c>
      <c r="CD47" s="18">
        <v>19700</v>
      </c>
      <c r="CE47" s="18">
        <v>14470</v>
      </c>
      <c r="CF47" s="18">
        <v>12770</v>
      </c>
      <c r="CG47" s="18">
        <v>10340</v>
      </c>
      <c r="CH47" s="18">
        <v>10050</v>
      </c>
      <c r="CI47" s="18">
        <v>5110</v>
      </c>
      <c r="CJ47" s="18">
        <v>5260</v>
      </c>
      <c r="CK47" s="18">
        <v>1660</v>
      </c>
      <c r="CL47" s="18">
        <v>101960</v>
      </c>
    </row>
    <row r="48" spans="1:90" ht="15" x14ac:dyDescent="0.15">
      <c r="A48" s="97" t="s">
        <v>46</v>
      </c>
      <c r="B48" s="99"/>
      <c r="C48" s="17">
        <v>16290</v>
      </c>
      <c r="D48" s="17">
        <v>22465</v>
      </c>
      <c r="E48" s="17">
        <v>47495</v>
      </c>
      <c r="F48" s="17">
        <v>31060</v>
      </c>
      <c r="G48" s="17">
        <v>22095</v>
      </c>
      <c r="H48" s="17">
        <v>12070</v>
      </c>
      <c r="I48" s="17">
        <v>7050</v>
      </c>
      <c r="J48" s="17">
        <v>2235</v>
      </c>
      <c r="K48" s="17">
        <v>1470</v>
      </c>
      <c r="L48" s="17">
        <v>475</v>
      </c>
      <c r="M48" s="18">
        <v>162705</v>
      </c>
      <c r="N48" s="17">
        <v>4310</v>
      </c>
      <c r="O48" s="17">
        <v>5850</v>
      </c>
      <c r="P48" s="17">
        <v>13940</v>
      </c>
      <c r="Q48" s="17">
        <v>7055</v>
      </c>
      <c r="R48" s="17">
        <v>2945</v>
      </c>
      <c r="S48" s="17">
        <v>640</v>
      </c>
      <c r="T48" s="17">
        <v>165</v>
      </c>
      <c r="U48" s="17">
        <v>30</v>
      </c>
      <c r="V48" s="17">
        <v>10</v>
      </c>
      <c r="W48" s="17">
        <v>0</v>
      </c>
      <c r="X48" s="18">
        <v>34945</v>
      </c>
      <c r="Y48" s="17">
        <v>990</v>
      </c>
      <c r="Z48" s="17">
        <v>1535</v>
      </c>
      <c r="AA48" s="17">
        <v>5070</v>
      </c>
      <c r="AB48" s="17">
        <v>4320</v>
      </c>
      <c r="AC48" s="17">
        <v>2525</v>
      </c>
      <c r="AD48" s="17">
        <v>920</v>
      </c>
      <c r="AE48" s="17">
        <v>300</v>
      </c>
      <c r="AF48" s="17">
        <v>75</v>
      </c>
      <c r="AG48" s="17">
        <v>30</v>
      </c>
      <c r="AH48" s="17">
        <v>0</v>
      </c>
      <c r="AI48" s="18">
        <v>15765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8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8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0</v>
      </c>
      <c r="BP48" s="18">
        <v>0</v>
      </c>
      <c r="BQ48" s="17">
        <v>145</v>
      </c>
      <c r="BR48" s="17">
        <v>185</v>
      </c>
      <c r="BS48" s="17">
        <v>435</v>
      </c>
      <c r="BT48" s="17">
        <v>220</v>
      </c>
      <c r="BU48" s="17">
        <v>125</v>
      </c>
      <c r="BV48" s="17">
        <v>50</v>
      </c>
      <c r="BW48" s="17">
        <v>20</v>
      </c>
      <c r="BX48" s="17">
        <v>10</v>
      </c>
      <c r="BY48" s="17">
        <v>5</v>
      </c>
      <c r="BZ48" s="17">
        <v>5</v>
      </c>
      <c r="CA48" s="18">
        <v>1200</v>
      </c>
      <c r="CB48" s="18">
        <v>21735</v>
      </c>
      <c r="CC48" s="18">
        <v>30035</v>
      </c>
      <c r="CD48" s="18">
        <v>66940</v>
      </c>
      <c r="CE48" s="18">
        <v>42655</v>
      </c>
      <c r="CF48" s="18">
        <v>27690</v>
      </c>
      <c r="CG48" s="18">
        <v>13680</v>
      </c>
      <c r="CH48" s="18">
        <v>7535</v>
      </c>
      <c r="CI48" s="18">
        <v>2350</v>
      </c>
      <c r="CJ48" s="18">
        <v>1515</v>
      </c>
      <c r="CK48" s="18">
        <v>480</v>
      </c>
      <c r="CL48" s="18">
        <v>214615</v>
      </c>
    </row>
    <row r="49" spans="1:90" ht="15" x14ac:dyDescent="0.15">
      <c r="A49" s="97" t="s">
        <v>47</v>
      </c>
      <c r="B49" s="99"/>
      <c r="C49" s="17">
        <v>11110</v>
      </c>
      <c r="D49" s="17">
        <v>19820</v>
      </c>
      <c r="E49" s="17">
        <v>24890</v>
      </c>
      <c r="F49" s="17">
        <v>7890</v>
      </c>
      <c r="G49" s="17">
        <v>6175</v>
      </c>
      <c r="H49" s="17">
        <v>4245</v>
      </c>
      <c r="I49" s="17">
        <v>3430</v>
      </c>
      <c r="J49" s="17">
        <v>1490</v>
      </c>
      <c r="K49" s="17">
        <v>1475</v>
      </c>
      <c r="L49" s="17">
        <v>505</v>
      </c>
      <c r="M49" s="18">
        <v>81030</v>
      </c>
      <c r="N49" s="17">
        <v>20170</v>
      </c>
      <c r="O49" s="17">
        <v>5615</v>
      </c>
      <c r="P49" s="17">
        <v>4280</v>
      </c>
      <c r="Q49" s="17">
        <v>1265</v>
      </c>
      <c r="R49" s="17">
        <v>525</v>
      </c>
      <c r="S49" s="17">
        <v>215</v>
      </c>
      <c r="T49" s="17">
        <v>55</v>
      </c>
      <c r="U49" s="17">
        <v>10</v>
      </c>
      <c r="V49" s="17">
        <v>0</v>
      </c>
      <c r="W49" s="17">
        <v>0</v>
      </c>
      <c r="X49" s="18">
        <v>32135</v>
      </c>
      <c r="Y49" s="17">
        <v>385</v>
      </c>
      <c r="Z49" s="17">
        <v>445</v>
      </c>
      <c r="AA49" s="17">
        <v>985</v>
      </c>
      <c r="AB49" s="17">
        <v>610</v>
      </c>
      <c r="AC49" s="17">
        <v>345</v>
      </c>
      <c r="AD49" s="17">
        <v>175</v>
      </c>
      <c r="AE49" s="17">
        <v>95</v>
      </c>
      <c r="AF49" s="17">
        <v>10</v>
      </c>
      <c r="AG49" s="17">
        <v>5</v>
      </c>
      <c r="AH49" s="17">
        <v>0</v>
      </c>
      <c r="AI49" s="18">
        <v>3055</v>
      </c>
      <c r="AJ49" s="17">
        <v>0</v>
      </c>
      <c r="AK49" s="17">
        <v>0</v>
      </c>
      <c r="AL49" s="17">
        <v>5</v>
      </c>
      <c r="AM49" s="17">
        <v>5</v>
      </c>
      <c r="AN49" s="17">
        <v>0</v>
      </c>
      <c r="AO49" s="17">
        <v>0</v>
      </c>
      <c r="AP49" s="17">
        <v>0</v>
      </c>
      <c r="AQ49" s="17">
        <v>5</v>
      </c>
      <c r="AR49" s="17">
        <v>20</v>
      </c>
      <c r="AS49" s="17">
        <v>25</v>
      </c>
      <c r="AT49" s="18">
        <v>60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5</v>
      </c>
      <c r="BD49" s="17">
        <v>5</v>
      </c>
      <c r="BE49" s="18">
        <v>10</v>
      </c>
      <c r="BF49" s="17">
        <v>5</v>
      </c>
      <c r="BG49" s="17">
        <v>0</v>
      </c>
      <c r="BH49" s="17">
        <v>0</v>
      </c>
      <c r="BI49" s="17">
        <v>0</v>
      </c>
      <c r="BJ49" s="17">
        <v>0</v>
      </c>
      <c r="BK49" s="17">
        <v>0</v>
      </c>
      <c r="BL49" s="17">
        <v>0</v>
      </c>
      <c r="BM49" s="17">
        <v>0</v>
      </c>
      <c r="BN49" s="17">
        <v>5</v>
      </c>
      <c r="BO49" s="17">
        <v>5</v>
      </c>
      <c r="BP49" s="18">
        <v>15</v>
      </c>
      <c r="BQ49" s="17">
        <v>145</v>
      </c>
      <c r="BR49" s="17">
        <v>110</v>
      </c>
      <c r="BS49" s="17">
        <v>120</v>
      </c>
      <c r="BT49" s="17">
        <v>65</v>
      </c>
      <c r="BU49" s="17">
        <v>55</v>
      </c>
      <c r="BV49" s="17">
        <v>30</v>
      </c>
      <c r="BW49" s="17">
        <v>30</v>
      </c>
      <c r="BX49" s="17">
        <v>10</v>
      </c>
      <c r="BY49" s="17">
        <v>5</v>
      </c>
      <c r="BZ49" s="17">
        <v>0</v>
      </c>
      <c r="CA49" s="18">
        <v>570</v>
      </c>
      <c r="CB49" s="18">
        <v>31815</v>
      </c>
      <c r="CC49" s="18">
        <v>25990</v>
      </c>
      <c r="CD49" s="18">
        <v>30280</v>
      </c>
      <c r="CE49" s="18">
        <v>9835</v>
      </c>
      <c r="CF49" s="18">
        <v>7100</v>
      </c>
      <c r="CG49" s="18">
        <v>4665</v>
      </c>
      <c r="CH49" s="18">
        <v>3610</v>
      </c>
      <c r="CI49" s="18">
        <v>1525</v>
      </c>
      <c r="CJ49" s="18">
        <v>1515</v>
      </c>
      <c r="CK49" s="18">
        <v>540</v>
      </c>
      <c r="CL49" s="18">
        <v>116875</v>
      </c>
    </row>
    <row r="50" spans="1:90" ht="15" x14ac:dyDescent="0.15">
      <c r="A50" s="97" t="s">
        <v>48</v>
      </c>
      <c r="B50" s="99"/>
      <c r="C50" s="17">
        <v>10375</v>
      </c>
      <c r="D50" s="17">
        <v>21860</v>
      </c>
      <c r="E50" s="17">
        <v>48430</v>
      </c>
      <c r="F50" s="17">
        <v>24210</v>
      </c>
      <c r="G50" s="17">
        <v>14275</v>
      </c>
      <c r="H50" s="17">
        <v>6515</v>
      </c>
      <c r="I50" s="17">
        <v>3295</v>
      </c>
      <c r="J50" s="17">
        <v>1135</v>
      </c>
      <c r="K50" s="17">
        <v>845</v>
      </c>
      <c r="L50" s="17">
        <v>210</v>
      </c>
      <c r="M50" s="18">
        <v>131150</v>
      </c>
      <c r="N50" s="17">
        <v>815</v>
      </c>
      <c r="O50" s="17">
        <v>5970</v>
      </c>
      <c r="P50" s="17">
        <v>12590</v>
      </c>
      <c r="Q50" s="17">
        <v>3545</v>
      </c>
      <c r="R50" s="17">
        <v>915</v>
      </c>
      <c r="S50" s="17">
        <v>195</v>
      </c>
      <c r="T50" s="17">
        <v>35</v>
      </c>
      <c r="U50" s="17">
        <v>10</v>
      </c>
      <c r="V50" s="17">
        <v>0</v>
      </c>
      <c r="W50" s="17">
        <v>0</v>
      </c>
      <c r="X50" s="18">
        <v>24075</v>
      </c>
      <c r="Y50" s="17">
        <v>590</v>
      </c>
      <c r="Z50" s="17">
        <v>1420</v>
      </c>
      <c r="AA50" s="17">
        <v>6130</v>
      </c>
      <c r="AB50" s="17">
        <v>2985</v>
      </c>
      <c r="AC50" s="17">
        <v>1280</v>
      </c>
      <c r="AD50" s="17">
        <v>375</v>
      </c>
      <c r="AE50" s="17">
        <v>100</v>
      </c>
      <c r="AF50" s="17">
        <v>15</v>
      </c>
      <c r="AG50" s="17">
        <v>0</v>
      </c>
      <c r="AH50" s="17">
        <v>0</v>
      </c>
      <c r="AI50" s="18">
        <v>12895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8">
        <v>0</v>
      </c>
      <c r="AU50" s="17">
        <v>0</v>
      </c>
      <c r="AV50" s="17">
        <v>0</v>
      </c>
      <c r="AW50" s="17">
        <v>5</v>
      </c>
      <c r="AX50" s="17">
        <v>5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8">
        <v>10</v>
      </c>
      <c r="BF50" s="17">
        <v>0</v>
      </c>
      <c r="BG50" s="17">
        <v>0</v>
      </c>
      <c r="BH50" s="17">
        <v>0</v>
      </c>
      <c r="BI50" s="17">
        <v>0</v>
      </c>
      <c r="BJ50" s="17">
        <v>0</v>
      </c>
      <c r="BK50" s="17">
        <v>0</v>
      </c>
      <c r="BL50" s="17">
        <v>5</v>
      </c>
      <c r="BM50" s="17">
        <v>0</v>
      </c>
      <c r="BN50" s="17">
        <v>0</v>
      </c>
      <c r="BO50" s="17">
        <v>0</v>
      </c>
      <c r="BP50" s="18">
        <v>5</v>
      </c>
      <c r="BQ50" s="17">
        <v>540</v>
      </c>
      <c r="BR50" s="17">
        <v>860</v>
      </c>
      <c r="BS50" s="17">
        <v>2395</v>
      </c>
      <c r="BT50" s="17">
        <v>1210</v>
      </c>
      <c r="BU50" s="17">
        <v>265</v>
      </c>
      <c r="BV50" s="17">
        <v>55</v>
      </c>
      <c r="BW50" s="17">
        <v>30</v>
      </c>
      <c r="BX50" s="17">
        <v>15</v>
      </c>
      <c r="BY50" s="17">
        <v>10</v>
      </c>
      <c r="BZ50" s="17">
        <v>0</v>
      </c>
      <c r="CA50" s="18">
        <v>5380</v>
      </c>
      <c r="CB50" s="18">
        <v>12320</v>
      </c>
      <c r="CC50" s="18">
        <v>30110</v>
      </c>
      <c r="CD50" s="18">
        <v>69550</v>
      </c>
      <c r="CE50" s="18">
        <v>31955</v>
      </c>
      <c r="CF50" s="18">
        <v>16735</v>
      </c>
      <c r="CG50" s="18">
        <v>7140</v>
      </c>
      <c r="CH50" s="18">
        <v>3465</v>
      </c>
      <c r="CI50" s="18">
        <v>1175</v>
      </c>
      <c r="CJ50" s="18">
        <v>855</v>
      </c>
      <c r="CK50" s="18">
        <v>210</v>
      </c>
      <c r="CL50" s="18">
        <v>173515</v>
      </c>
    </row>
    <row r="51" spans="1:90" ht="15" x14ac:dyDescent="0.15">
      <c r="A51" s="97" t="s">
        <v>49</v>
      </c>
      <c r="B51" s="99"/>
      <c r="C51" s="17">
        <v>28415</v>
      </c>
      <c r="D51" s="17">
        <v>46480</v>
      </c>
      <c r="E51" s="17">
        <v>63260</v>
      </c>
      <c r="F51" s="17">
        <v>15715</v>
      </c>
      <c r="G51" s="17">
        <v>9115</v>
      </c>
      <c r="H51" s="17">
        <v>6070</v>
      </c>
      <c r="I51" s="17">
        <v>4955</v>
      </c>
      <c r="J51" s="17">
        <v>2110</v>
      </c>
      <c r="K51" s="17">
        <v>2050</v>
      </c>
      <c r="L51" s="17">
        <v>740</v>
      </c>
      <c r="M51" s="18">
        <v>178910</v>
      </c>
      <c r="N51" s="17">
        <v>2150</v>
      </c>
      <c r="O51" s="17">
        <v>2305</v>
      </c>
      <c r="P51" s="17">
        <v>1965</v>
      </c>
      <c r="Q51" s="17">
        <v>280</v>
      </c>
      <c r="R51" s="17">
        <v>105</v>
      </c>
      <c r="S51" s="17">
        <v>15</v>
      </c>
      <c r="T51" s="17">
        <v>15</v>
      </c>
      <c r="U51" s="17">
        <v>5</v>
      </c>
      <c r="V51" s="17">
        <v>0</v>
      </c>
      <c r="W51" s="17">
        <v>0</v>
      </c>
      <c r="X51" s="18">
        <v>6840</v>
      </c>
      <c r="Y51" s="17">
        <v>295</v>
      </c>
      <c r="Z51" s="17">
        <v>225</v>
      </c>
      <c r="AA51" s="17">
        <v>315</v>
      </c>
      <c r="AB51" s="17">
        <v>100</v>
      </c>
      <c r="AC51" s="17">
        <v>40</v>
      </c>
      <c r="AD51" s="17">
        <v>20</v>
      </c>
      <c r="AE51" s="17">
        <v>10</v>
      </c>
      <c r="AF51" s="17">
        <v>0</v>
      </c>
      <c r="AG51" s="17">
        <v>5</v>
      </c>
      <c r="AH51" s="17">
        <v>0</v>
      </c>
      <c r="AI51" s="18">
        <v>1010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5</v>
      </c>
      <c r="AT51" s="18">
        <v>5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5</v>
      </c>
      <c r="BC51" s="17">
        <v>0</v>
      </c>
      <c r="BD51" s="17">
        <v>0</v>
      </c>
      <c r="BE51" s="18">
        <v>5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8">
        <v>0</v>
      </c>
      <c r="BQ51" s="17">
        <v>165</v>
      </c>
      <c r="BR51" s="17">
        <v>200</v>
      </c>
      <c r="BS51" s="17">
        <v>280</v>
      </c>
      <c r="BT51" s="17">
        <v>150</v>
      </c>
      <c r="BU51" s="17">
        <v>95</v>
      </c>
      <c r="BV51" s="17">
        <v>50</v>
      </c>
      <c r="BW51" s="17">
        <v>25</v>
      </c>
      <c r="BX51" s="17">
        <v>10</v>
      </c>
      <c r="BY51" s="17">
        <v>10</v>
      </c>
      <c r="BZ51" s="17">
        <v>5</v>
      </c>
      <c r="CA51" s="18">
        <v>990</v>
      </c>
      <c r="CB51" s="18">
        <v>31025</v>
      </c>
      <c r="CC51" s="18">
        <v>49210</v>
      </c>
      <c r="CD51" s="18">
        <v>65820</v>
      </c>
      <c r="CE51" s="18">
        <v>16245</v>
      </c>
      <c r="CF51" s="18">
        <v>9355</v>
      </c>
      <c r="CG51" s="18">
        <v>6155</v>
      </c>
      <c r="CH51" s="18">
        <v>5005</v>
      </c>
      <c r="CI51" s="18">
        <v>2130</v>
      </c>
      <c r="CJ51" s="18">
        <v>2065</v>
      </c>
      <c r="CK51" s="18">
        <v>750</v>
      </c>
      <c r="CL51" s="18">
        <v>187760</v>
      </c>
    </row>
    <row r="52" spans="1:90" ht="15" x14ac:dyDescent="0.15">
      <c r="A52" s="97" t="s">
        <v>50</v>
      </c>
      <c r="B52" s="99"/>
      <c r="C52" s="17">
        <v>11300</v>
      </c>
      <c r="D52" s="17">
        <v>2015</v>
      </c>
      <c r="E52" s="17">
        <v>13215</v>
      </c>
      <c r="F52" s="17">
        <v>6215</v>
      </c>
      <c r="G52" s="17">
        <v>3965</v>
      </c>
      <c r="H52" s="17">
        <v>2165</v>
      </c>
      <c r="I52" s="17">
        <v>1545</v>
      </c>
      <c r="J52" s="17">
        <v>745</v>
      </c>
      <c r="K52" s="17">
        <v>1045</v>
      </c>
      <c r="L52" s="17">
        <v>810</v>
      </c>
      <c r="M52" s="18">
        <v>43020</v>
      </c>
      <c r="N52" s="17">
        <v>45</v>
      </c>
      <c r="O52" s="17">
        <v>35</v>
      </c>
      <c r="P52" s="17">
        <v>675</v>
      </c>
      <c r="Q52" s="17">
        <v>340</v>
      </c>
      <c r="R52" s="17">
        <v>120</v>
      </c>
      <c r="S52" s="17">
        <v>30</v>
      </c>
      <c r="T52" s="17">
        <v>5</v>
      </c>
      <c r="U52" s="17">
        <v>0</v>
      </c>
      <c r="V52" s="17">
        <v>0</v>
      </c>
      <c r="W52" s="17">
        <v>0</v>
      </c>
      <c r="X52" s="18">
        <v>1250</v>
      </c>
      <c r="Y52" s="17">
        <v>90</v>
      </c>
      <c r="Z52" s="17">
        <v>30</v>
      </c>
      <c r="AA52" s="17">
        <v>35</v>
      </c>
      <c r="AB52" s="17">
        <v>150</v>
      </c>
      <c r="AC52" s="17">
        <v>155</v>
      </c>
      <c r="AD52" s="17">
        <v>90</v>
      </c>
      <c r="AE52" s="17">
        <v>25</v>
      </c>
      <c r="AF52" s="17">
        <v>10</v>
      </c>
      <c r="AG52" s="17">
        <v>0</v>
      </c>
      <c r="AH52" s="17">
        <v>0</v>
      </c>
      <c r="AI52" s="18">
        <v>585</v>
      </c>
      <c r="AJ52" s="17">
        <v>0</v>
      </c>
      <c r="AK52" s="17">
        <v>0</v>
      </c>
      <c r="AL52" s="17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5</v>
      </c>
      <c r="AS52" s="17">
        <v>5</v>
      </c>
      <c r="AT52" s="18">
        <v>10</v>
      </c>
      <c r="AU52" s="17">
        <v>5</v>
      </c>
      <c r="AV52" s="17">
        <v>0</v>
      </c>
      <c r="AW52" s="17">
        <v>0</v>
      </c>
      <c r="AX52" s="17">
        <v>0</v>
      </c>
      <c r="AY52" s="17">
        <v>0</v>
      </c>
      <c r="AZ52" s="17">
        <v>0</v>
      </c>
      <c r="BA52" s="17">
        <v>0</v>
      </c>
      <c r="BB52" s="17">
        <v>0</v>
      </c>
      <c r="BC52" s="17">
        <v>5</v>
      </c>
      <c r="BD52" s="17">
        <v>5</v>
      </c>
      <c r="BE52" s="18">
        <v>15</v>
      </c>
      <c r="BF52" s="17">
        <v>0</v>
      </c>
      <c r="BG52" s="17">
        <v>0</v>
      </c>
      <c r="BH52" s="17">
        <v>0</v>
      </c>
      <c r="BI52" s="17">
        <v>0</v>
      </c>
      <c r="BJ52" s="17">
        <v>0</v>
      </c>
      <c r="BK52" s="17">
        <v>0</v>
      </c>
      <c r="BL52" s="17">
        <v>0</v>
      </c>
      <c r="BM52" s="17">
        <v>0</v>
      </c>
      <c r="BN52" s="17">
        <v>0</v>
      </c>
      <c r="BO52" s="17">
        <v>0</v>
      </c>
      <c r="BP52" s="18">
        <v>0</v>
      </c>
      <c r="BQ52" s="17">
        <v>13350</v>
      </c>
      <c r="BR52" s="17">
        <v>110</v>
      </c>
      <c r="BS52" s="17">
        <v>135</v>
      </c>
      <c r="BT52" s="17">
        <v>90</v>
      </c>
      <c r="BU52" s="17">
        <v>95</v>
      </c>
      <c r="BV52" s="17">
        <v>45</v>
      </c>
      <c r="BW52" s="17">
        <v>30</v>
      </c>
      <c r="BX52" s="17">
        <v>15</v>
      </c>
      <c r="BY52" s="17">
        <v>20</v>
      </c>
      <c r="BZ52" s="17">
        <v>25</v>
      </c>
      <c r="CA52" s="18">
        <v>13915</v>
      </c>
      <c r="CB52" s="18">
        <v>24790</v>
      </c>
      <c r="CC52" s="18">
        <v>2190</v>
      </c>
      <c r="CD52" s="18">
        <v>14060</v>
      </c>
      <c r="CE52" s="18">
        <v>6795</v>
      </c>
      <c r="CF52" s="18">
        <v>4335</v>
      </c>
      <c r="CG52" s="18">
        <v>2330</v>
      </c>
      <c r="CH52" s="18">
        <v>1605</v>
      </c>
      <c r="CI52" s="18">
        <v>770</v>
      </c>
      <c r="CJ52" s="18">
        <v>1075</v>
      </c>
      <c r="CK52" s="18">
        <v>845</v>
      </c>
      <c r="CL52" s="18">
        <v>58795</v>
      </c>
    </row>
    <row r="53" spans="1:90" ht="15" x14ac:dyDescent="0.15">
      <c r="A53" s="97" t="s">
        <v>51</v>
      </c>
      <c r="B53" s="99"/>
      <c r="C53" s="17">
        <v>13865</v>
      </c>
      <c r="D53" s="17">
        <v>24245</v>
      </c>
      <c r="E53" s="17">
        <v>28455</v>
      </c>
      <c r="F53" s="17">
        <v>13195</v>
      </c>
      <c r="G53" s="17">
        <v>7015</v>
      </c>
      <c r="H53" s="17">
        <v>3645</v>
      </c>
      <c r="I53" s="17">
        <v>2020</v>
      </c>
      <c r="J53" s="17">
        <v>745</v>
      </c>
      <c r="K53" s="17">
        <v>625</v>
      </c>
      <c r="L53" s="17">
        <v>170</v>
      </c>
      <c r="M53" s="18">
        <v>93980</v>
      </c>
      <c r="N53" s="17">
        <v>3585</v>
      </c>
      <c r="O53" s="17">
        <v>1345</v>
      </c>
      <c r="P53" s="17">
        <v>2100</v>
      </c>
      <c r="Q53" s="17">
        <v>645</v>
      </c>
      <c r="R53" s="17">
        <v>245</v>
      </c>
      <c r="S53" s="17">
        <v>80</v>
      </c>
      <c r="T53" s="17">
        <v>45</v>
      </c>
      <c r="U53" s="17">
        <v>10</v>
      </c>
      <c r="V53" s="17">
        <v>5</v>
      </c>
      <c r="W53" s="17">
        <v>0</v>
      </c>
      <c r="X53" s="18">
        <v>8060</v>
      </c>
      <c r="Y53" s="17">
        <v>5705</v>
      </c>
      <c r="Z53" s="17">
        <v>2495</v>
      </c>
      <c r="AA53" s="17">
        <v>2270</v>
      </c>
      <c r="AB53" s="17">
        <v>1045</v>
      </c>
      <c r="AC53" s="17">
        <v>470</v>
      </c>
      <c r="AD53" s="17">
        <v>190</v>
      </c>
      <c r="AE53" s="17">
        <v>80</v>
      </c>
      <c r="AF53" s="17">
        <v>20</v>
      </c>
      <c r="AG53" s="17">
        <v>30</v>
      </c>
      <c r="AH53" s="17">
        <v>5</v>
      </c>
      <c r="AI53" s="18">
        <v>12310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15</v>
      </c>
      <c r="AS53" s="17">
        <v>10</v>
      </c>
      <c r="AT53" s="18">
        <v>25</v>
      </c>
      <c r="AU53" s="17">
        <v>0</v>
      </c>
      <c r="AV53" s="17">
        <v>0</v>
      </c>
      <c r="AW53" s="17">
        <v>0</v>
      </c>
      <c r="AX53" s="17">
        <v>5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8">
        <v>5</v>
      </c>
      <c r="BF53" s="17">
        <v>5</v>
      </c>
      <c r="BG53" s="17">
        <v>0</v>
      </c>
      <c r="BH53" s="17">
        <v>5</v>
      </c>
      <c r="BI53" s="17">
        <v>0</v>
      </c>
      <c r="BJ53" s="17">
        <v>0</v>
      </c>
      <c r="BK53" s="17">
        <v>0</v>
      </c>
      <c r="BL53" s="17">
        <v>0</v>
      </c>
      <c r="BM53" s="17">
        <v>0</v>
      </c>
      <c r="BN53" s="17">
        <v>0</v>
      </c>
      <c r="BO53" s="17">
        <v>0</v>
      </c>
      <c r="BP53" s="18">
        <v>10</v>
      </c>
      <c r="BQ53" s="17">
        <v>1150</v>
      </c>
      <c r="BR53" s="17">
        <v>705</v>
      </c>
      <c r="BS53" s="17">
        <v>725</v>
      </c>
      <c r="BT53" s="17">
        <v>330</v>
      </c>
      <c r="BU53" s="17">
        <v>215</v>
      </c>
      <c r="BV53" s="17">
        <v>135</v>
      </c>
      <c r="BW53" s="17">
        <v>80</v>
      </c>
      <c r="BX53" s="17">
        <v>50</v>
      </c>
      <c r="BY53" s="17">
        <v>65</v>
      </c>
      <c r="BZ53" s="17">
        <v>50</v>
      </c>
      <c r="CA53" s="18">
        <v>3505</v>
      </c>
      <c r="CB53" s="18">
        <v>24310</v>
      </c>
      <c r="CC53" s="18">
        <v>28790</v>
      </c>
      <c r="CD53" s="18">
        <v>33555</v>
      </c>
      <c r="CE53" s="18">
        <v>15220</v>
      </c>
      <c r="CF53" s="18">
        <v>7945</v>
      </c>
      <c r="CG53" s="18">
        <v>4050</v>
      </c>
      <c r="CH53" s="18">
        <v>2225</v>
      </c>
      <c r="CI53" s="18">
        <v>825</v>
      </c>
      <c r="CJ53" s="18">
        <v>740</v>
      </c>
      <c r="CK53" s="18">
        <v>235</v>
      </c>
      <c r="CL53" s="18">
        <v>117895</v>
      </c>
    </row>
    <row r="54" spans="1:90" ht="15" x14ac:dyDescent="0.15">
      <c r="A54" s="97" t="s">
        <v>52</v>
      </c>
      <c r="B54" s="99"/>
      <c r="C54" s="17">
        <v>50445</v>
      </c>
      <c r="D54" s="17">
        <v>80305</v>
      </c>
      <c r="E54" s="17">
        <v>139065</v>
      </c>
      <c r="F54" s="17">
        <v>40245</v>
      </c>
      <c r="G54" s="17">
        <v>20660</v>
      </c>
      <c r="H54" s="17">
        <v>12635</v>
      </c>
      <c r="I54" s="17">
        <v>8730</v>
      </c>
      <c r="J54" s="17">
        <v>3470</v>
      </c>
      <c r="K54" s="17">
        <v>3060</v>
      </c>
      <c r="L54" s="17">
        <v>910</v>
      </c>
      <c r="M54" s="18">
        <v>359525</v>
      </c>
      <c r="N54" s="17">
        <v>7820</v>
      </c>
      <c r="O54" s="17">
        <v>9875</v>
      </c>
      <c r="P54" s="17">
        <v>21805</v>
      </c>
      <c r="Q54" s="17">
        <v>5380</v>
      </c>
      <c r="R54" s="17">
        <v>1805</v>
      </c>
      <c r="S54" s="17">
        <v>560</v>
      </c>
      <c r="T54" s="17">
        <v>135</v>
      </c>
      <c r="U54" s="17">
        <v>15</v>
      </c>
      <c r="V54" s="17">
        <v>0</v>
      </c>
      <c r="W54" s="17">
        <v>0</v>
      </c>
      <c r="X54" s="18">
        <v>47395</v>
      </c>
      <c r="Y54" s="17">
        <v>1045</v>
      </c>
      <c r="Z54" s="17">
        <v>1110</v>
      </c>
      <c r="AA54" s="17">
        <v>2155</v>
      </c>
      <c r="AB54" s="17">
        <v>1320</v>
      </c>
      <c r="AC54" s="17">
        <v>950</v>
      </c>
      <c r="AD54" s="17">
        <v>560</v>
      </c>
      <c r="AE54" s="17">
        <v>285</v>
      </c>
      <c r="AF54" s="17">
        <v>80</v>
      </c>
      <c r="AG54" s="17">
        <v>55</v>
      </c>
      <c r="AH54" s="17">
        <v>20</v>
      </c>
      <c r="AI54" s="18">
        <v>7580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5</v>
      </c>
      <c r="AP54" s="17">
        <v>5</v>
      </c>
      <c r="AQ54" s="17">
        <v>0</v>
      </c>
      <c r="AR54" s="17">
        <v>0</v>
      </c>
      <c r="AS54" s="17">
        <v>5</v>
      </c>
      <c r="AT54" s="18">
        <v>15</v>
      </c>
      <c r="AU54" s="17">
        <v>5</v>
      </c>
      <c r="AV54" s="17">
        <v>0</v>
      </c>
      <c r="AW54" s="17">
        <v>5</v>
      </c>
      <c r="AX54" s="17">
        <v>5</v>
      </c>
      <c r="AY54" s="17">
        <v>5</v>
      </c>
      <c r="AZ54" s="17">
        <v>0</v>
      </c>
      <c r="BA54" s="17">
        <v>5</v>
      </c>
      <c r="BB54" s="17">
        <v>5</v>
      </c>
      <c r="BC54" s="17">
        <v>5</v>
      </c>
      <c r="BD54" s="17">
        <v>0</v>
      </c>
      <c r="BE54" s="18">
        <v>35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5</v>
      </c>
      <c r="BP54" s="18">
        <v>5</v>
      </c>
      <c r="BQ54" s="17">
        <v>280</v>
      </c>
      <c r="BR54" s="17">
        <v>505</v>
      </c>
      <c r="BS54" s="17">
        <v>830</v>
      </c>
      <c r="BT54" s="17">
        <v>505</v>
      </c>
      <c r="BU54" s="17">
        <v>400</v>
      </c>
      <c r="BV54" s="17">
        <v>245</v>
      </c>
      <c r="BW54" s="17">
        <v>160</v>
      </c>
      <c r="BX54" s="17">
        <v>65</v>
      </c>
      <c r="BY54" s="17">
        <v>60</v>
      </c>
      <c r="BZ54" s="17">
        <v>10</v>
      </c>
      <c r="CA54" s="18">
        <v>3060</v>
      </c>
      <c r="CB54" s="18">
        <v>59595</v>
      </c>
      <c r="CC54" s="18">
        <v>91795</v>
      </c>
      <c r="CD54" s="18">
        <v>163860</v>
      </c>
      <c r="CE54" s="18">
        <v>47455</v>
      </c>
      <c r="CF54" s="18">
        <v>23820</v>
      </c>
      <c r="CG54" s="18">
        <v>14005</v>
      </c>
      <c r="CH54" s="18">
        <v>9320</v>
      </c>
      <c r="CI54" s="18">
        <v>3635</v>
      </c>
      <c r="CJ54" s="18">
        <v>3180</v>
      </c>
      <c r="CK54" s="18">
        <v>950</v>
      </c>
      <c r="CL54" s="18">
        <v>417615</v>
      </c>
    </row>
    <row r="55" spans="1:90" ht="15" x14ac:dyDescent="0.15">
      <c r="A55" s="97" t="s">
        <v>53</v>
      </c>
      <c r="B55" s="99"/>
      <c r="C55" s="17">
        <v>19845</v>
      </c>
      <c r="D55" s="17">
        <v>27910</v>
      </c>
      <c r="E55" s="17">
        <v>62770</v>
      </c>
      <c r="F55" s="17">
        <v>26640</v>
      </c>
      <c r="G55" s="17">
        <v>17050</v>
      </c>
      <c r="H55" s="17">
        <v>10380</v>
      </c>
      <c r="I55" s="17">
        <v>7810</v>
      </c>
      <c r="J55" s="17">
        <v>2870</v>
      </c>
      <c r="K55" s="17">
        <v>2745</v>
      </c>
      <c r="L55" s="17">
        <v>775</v>
      </c>
      <c r="M55" s="18">
        <v>178795</v>
      </c>
      <c r="N55" s="17">
        <v>3680</v>
      </c>
      <c r="O55" s="17">
        <v>5755</v>
      </c>
      <c r="P55" s="17">
        <v>8885</v>
      </c>
      <c r="Q55" s="17">
        <v>13600</v>
      </c>
      <c r="R55" s="17">
        <v>5100</v>
      </c>
      <c r="S55" s="17">
        <v>825</v>
      </c>
      <c r="T55" s="17">
        <v>135</v>
      </c>
      <c r="U55" s="17">
        <v>15</v>
      </c>
      <c r="V55" s="17">
        <v>5</v>
      </c>
      <c r="W55" s="17">
        <v>0</v>
      </c>
      <c r="X55" s="18">
        <v>38000</v>
      </c>
      <c r="Y55" s="17">
        <v>880</v>
      </c>
      <c r="Z55" s="17">
        <v>840</v>
      </c>
      <c r="AA55" s="17">
        <v>1730</v>
      </c>
      <c r="AB55" s="17">
        <v>750</v>
      </c>
      <c r="AC55" s="17">
        <v>1345</v>
      </c>
      <c r="AD55" s="17">
        <v>325</v>
      </c>
      <c r="AE55" s="17">
        <v>105</v>
      </c>
      <c r="AF55" s="17">
        <v>20</v>
      </c>
      <c r="AG55" s="17">
        <v>10</v>
      </c>
      <c r="AH55" s="17">
        <v>0</v>
      </c>
      <c r="AI55" s="18">
        <v>6005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5</v>
      </c>
      <c r="AS55" s="17">
        <v>5</v>
      </c>
      <c r="AT55" s="18">
        <v>10</v>
      </c>
      <c r="AU55" s="17">
        <v>0</v>
      </c>
      <c r="AV55" s="17">
        <v>0</v>
      </c>
      <c r="AW55" s="17">
        <v>0</v>
      </c>
      <c r="AX55" s="17">
        <v>0</v>
      </c>
      <c r="AY55" s="17">
        <v>5</v>
      </c>
      <c r="AZ55" s="17">
        <v>5</v>
      </c>
      <c r="BA55" s="17">
        <v>5</v>
      </c>
      <c r="BB55" s="17">
        <v>15</v>
      </c>
      <c r="BC55" s="17">
        <v>5</v>
      </c>
      <c r="BD55" s="17">
        <v>5</v>
      </c>
      <c r="BE55" s="18">
        <v>40</v>
      </c>
      <c r="BF55" s="17">
        <v>0</v>
      </c>
      <c r="BG55" s="17">
        <v>0</v>
      </c>
      <c r="BH55" s="17">
        <v>0</v>
      </c>
      <c r="BI55" s="17">
        <v>5</v>
      </c>
      <c r="BJ55" s="17">
        <v>5</v>
      </c>
      <c r="BK55" s="17">
        <v>5</v>
      </c>
      <c r="BL55" s="17">
        <v>5</v>
      </c>
      <c r="BM55" s="17">
        <v>0</v>
      </c>
      <c r="BN55" s="17">
        <v>0</v>
      </c>
      <c r="BO55" s="17">
        <v>0</v>
      </c>
      <c r="BP55" s="18">
        <v>20</v>
      </c>
      <c r="BQ55" s="17">
        <v>330</v>
      </c>
      <c r="BR55" s="17">
        <v>205</v>
      </c>
      <c r="BS55" s="17">
        <v>1190</v>
      </c>
      <c r="BT55" s="17">
        <v>685</v>
      </c>
      <c r="BU55" s="17">
        <v>675</v>
      </c>
      <c r="BV55" s="17">
        <v>450</v>
      </c>
      <c r="BW55" s="17">
        <v>200</v>
      </c>
      <c r="BX55" s="17">
        <v>40</v>
      </c>
      <c r="BY55" s="17">
        <v>25</v>
      </c>
      <c r="BZ55" s="17">
        <v>0</v>
      </c>
      <c r="CA55" s="18">
        <v>3800</v>
      </c>
      <c r="CB55" s="18">
        <v>24735</v>
      </c>
      <c r="CC55" s="18">
        <v>34710</v>
      </c>
      <c r="CD55" s="18">
        <v>74575</v>
      </c>
      <c r="CE55" s="18">
        <v>41680</v>
      </c>
      <c r="CF55" s="18">
        <v>24180</v>
      </c>
      <c r="CG55" s="18">
        <v>11990</v>
      </c>
      <c r="CH55" s="18">
        <v>8260</v>
      </c>
      <c r="CI55" s="18">
        <v>2960</v>
      </c>
      <c r="CJ55" s="18">
        <v>2795</v>
      </c>
      <c r="CK55" s="18">
        <v>785</v>
      </c>
      <c r="CL55" s="18">
        <v>226670</v>
      </c>
    </row>
    <row r="56" spans="1:90" ht="15" x14ac:dyDescent="0.15">
      <c r="A56" s="97" t="s">
        <v>54</v>
      </c>
      <c r="B56" s="99"/>
      <c r="C56" s="17">
        <v>0</v>
      </c>
      <c r="D56" s="17">
        <v>5</v>
      </c>
      <c r="E56" s="17">
        <v>5</v>
      </c>
      <c r="F56" s="17">
        <v>0</v>
      </c>
      <c r="G56" s="17">
        <v>5</v>
      </c>
      <c r="H56" s="17">
        <v>5</v>
      </c>
      <c r="I56" s="17">
        <v>0</v>
      </c>
      <c r="J56" s="17">
        <v>0</v>
      </c>
      <c r="K56" s="17">
        <v>0</v>
      </c>
      <c r="L56" s="17">
        <v>0</v>
      </c>
      <c r="M56" s="18">
        <v>20</v>
      </c>
      <c r="N56" s="17">
        <v>5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8">
        <v>5</v>
      </c>
      <c r="Y56" s="17">
        <v>0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  <c r="AE56" s="17">
        <v>0</v>
      </c>
      <c r="AF56" s="17">
        <v>0</v>
      </c>
      <c r="AG56" s="17">
        <v>0</v>
      </c>
      <c r="AH56" s="17">
        <v>0</v>
      </c>
      <c r="AI56" s="18">
        <v>0</v>
      </c>
      <c r="AJ56" s="17">
        <v>0</v>
      </c>
      <c r="AK56" s="17">
        <v>0</v>
      </c>
      <c r="AL56" s="17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>
        <v>5</v>
      </c>
      <c r="AS56" s="17">
        <v>5</v>
      </c>
      <c r="AT56" s="18">
        <v>10</v>
      </c>
      <c r="AU56" s="17">
        <v>0</v>
      </c>
      <c r="AV56" s="17">
        <v>5</v>
      </c>
      <c r="AW56" s="17">
        <v>10</v>
      </c>
      <c r="AX56" s="17">
        <v>10</v>
      </c>
      <c r="AY56" s="17">
        <v>10</v>
      </c>
      <c r="AZ56" s="17">
        <v>15</v>
      </c>
      <c r="BA56" s="17">
        <v>35</v>
      </c>
      <c r="BB56" s="17">
        <v>10</v>
      </c>
      <c r="BC56" s="17">
        <v>60</v>
      </c>
      <c r="BD56" s="17">
        <v>60</v>
      </c>
      <c r="BE56" s="18">
        <v>215</v>
      </c>
      <c r="BF56" s="17">
        <v>320</v>
      </c>
      <c r="BG56" s="17">
        <v>4840</v>
      </c>
      <c r="BH56" s="17">
        <v>1495</v>
      </c>
      <c r="BI56" s="17">
        <v>385</v>
      </c>
      <c r="BJ56" s="17">
        <v>145</v>
      </c>
      <c r="BK56" s="17">
        <v>70</v>
      </c>
      <c r="BL56" s="17">
        <v>60</v>
      </c>
      <c r="BM56" s="17">
        <v>55</v>
      </c>
      <c r="BN56" s="17">
        <v>125</v>
      </c>
      <c r="BO56" s="17">
        <v>65</v>
      </c>
      <c r="BP56" s="18">
        <v>7560</v>
      </c>
      <c r="BQ56" s="17">
        <v>0</v>
      </c>
      <c r="BR56" s="17">
        <v>20</v>
      </c>
      <c r="BS56" s="17">
        <v>5</v>
      </c>
      <c r="BT56" s="17">
        <v>5</v>
      </c>
      <c r="BU56" s="17">
        <v>0</v>
      </c>
      <c r="BV56" s="17">
        <v>0</v>
      </c>
      <c r="BW56" s="17">
        <v>0</v>
      </c>
      <c r="BX56" s="17">
        <v>0</v>
      </c>
      <c r="BY56" s="17">
        <v>5</v>
      </c>
      <c r="BZ56" s="17">
        <v>0</v>
      </c>
      <c r="CA56" s="18">
        <v>35</v>
      </c>
      <c r="CB56" s="18">
        <v>325</v>
      </c>
      <c r="CC56" s="18">
        <v>4870</v>
      </c>
      <c r="CD56" s="18">
        <v>1515</v>
      </c>
      <c r="CE56" s="18">
        <v>400</v>
      </c>
      <c r="CF56" s="18">
        <v>160</v>
      </c>
      <c r="CG56" s="18">
        <v>90</v>
      </c>
      <c r="CH56" s="18">
        <v>95</v>
      </c>
      <c r="CI56" s="18">
        <v>65</v>
      </c>
      <c r="CJ56" s="18">
        <v>195</v>
      </c>
      <c r="CK56" s="18">
        <v>130</v>
      </c>
      <c r="CL56" s="18">
        <v>7845</v>
      </c>
    </row>
    <row r="57" spans="1:90" ht="15" x14ac:dyDescent="0.15">
      <c r="A57" s="97" t="s">
        <v>55</v>
      </c>
      <c r="B57" s="99"/>
      <c r="C57" s="17">
        <v>3315</v>
      </c>
      <c r="D57" s="17">
        <v>9070</v>
      </c>
      <c r="E57" s="17">
        <v>11405</v>
      </c>
      <c r="F57" s="17">
        <v>3860</v>
      </c>
      <c r="G57" s="17">
        <v>2865</v>
      </c>
      <c r="H57" s="17">
        <v>1455</v>
      </c>
      <c r="I57" s="17">
        <v>850</v>
      </c>
      <c r="J57" s="17">
        <v>250</v>
      </c>
      <c r="K57" s="17">
        <v>200</v>
      </c>
      <c r="L57" s="17">
        <v>40</v>
      </c>
      <c r="M57" s="18">
        <v>33310</v>
      </c>
      <c r="N57" s="17">
        <v>405</v>
      </c>
      <c r="O57" s="17">
        <v>465</v>
      </c>
      <c r="P57" s="17">
        <v>1230</v>
      </c>
      <c r="Q57" s="17">
        <v>785</v>
      </c>
      <c r="R57" s="17">
        <v>520</v>
      </c>
      <c r="S57" s="17">
        <v>110</v>
      </c>
      <c r="T57" s="17">
        <v>15</v>
      </c>
      <c r="U57" s="17">
        <v>0</v>
      </c>
      <c r="V57" s="17">
        <v>0</v>
      </c>
      <c r="W57" s="17">
        <v>0</v>
      </c>
      <c r="X57" s="18">
        <v>3530</v>
      </c>
      <c r="Y57" s="17">
        <v>60</v>
      </c>
      <c r="Z57" s="17">
        <v>105</v>
      </c>
      <c r="AA57" s="17">
        <v>260</v>
      </c>
      <c r="AB57" s="17">
        <v>210</v>
      </c>
      <c r="AC57" s="17">
        <v>170</v>
      </c>
      <c r="AD57" s="17">
        <v>50</v>
      </c>
      <c r="AE57" s="17">
        <v>10</v>
      </c>
      <c r="AF57" s="17">
        <v>0</v>
      </c>
      <c r="AG57" s="17">
        <v>0</v>
      </c>
      <c r="AH57" s="17">
        <v>0</v>
      </c>
      <c r="AI57" s="18">
        <v>865</v>
      </c>
      <c r="AJ57" s="17">
        <v>0</v>
      </c>
      <c r="AK57" s="17">
        <v>0</v>
      </c>
      <c r="AL57" s="17">
        <v>0</v>
      </c>
      <c r="AM57" s="17">
        <v>0</v>
      </c>
      <c r="AN57" s="17">
        <v>5</v>
      </c>
      <c r="AO57" s="17">
        <v>0</v>
      </c>
      <c r="AP57" s="17">
        <v>0</v>
      </c>
      <c r="AQ57" s="17">
        <v>0</v>
      </c>
      <c r="AR57" s="17">
        <v>5</v>
      </c>
      <c r="AS57" s="17">
        <v>0</v>
      </c>
      <c r="AT57" s="18">
        <v>10</v>
      </c>
      <c r="AU57" s="17">
        <v>95</v>
      </c>
      <c r="AV57" s="17">
        <v>55</v>
      </c>
      <c r="AW57" s="17">
        <v>85</v>
      </c>
      <c r="AX57" s="17">
        <v>110</v>
      </c>
      <c r="AY57" s="17">
        <v>175</v>
      </c>
      <c r="AZ57" s="17">
        <v>350</v>
      </c>
      <c r="BA57" s="17">
        <v>635</v>
      </c>
      <c r="BB57" s="17">
        <v>570</v>
      </c>
      <c r="BC57" s="17">
        <v>650</v>
      </c>
      <c r="BD57" s="17">
        <v>40</v>
      </c>
      <c r="BE57" s="18">
        <v>2765</v>
      </c>
      <c r="BF57" s="17">
        <v>0</v>
      </c>
      <c r="BG57" s="17">
        <v>5</v>
      </c>
      <c r="BH57" s="17">
        <v>10</v>
      </c>
      <c r="BI57" s="17">
        <v>25</v>
      </c>
      <c r="BJ57" s="17">
        <v>90</v>
      </c>
      <c r="BK57" s="17">
        <v>295</v>
      </c>
      <c r="BL57" s="17">
        <v>345</v>
      </c>
      <c r="BM57" s="17">
        <v>170</v>
      </c>
      <c r="BN57" s="17">
        <v>90</v>
      </c>
      <c r="BO57" s="17">
        <v>65</v>
      </c>
      <c r="BP57" s="18">
        <v>1095</v>
      </c>
      <c r="BQ57" s="17">
        <v>380</v>
      </c>
      <c r="BR57" s="17">
        <v>695</v>
      </c>
      <c r="BS57" s="17">
        <v>1360</v>
      </c>
      <c r="BT57" s="17">
        <v>1255</v>
      </c>
      <c r="BU57" s="17">
        <v>1015</v>
      </c>
      <c r="BV57" s="17">
        <v>555</v>
      </c>
      <c r="BW57" s="17">
        <v>495</v>
      </c>
      <c r="BX57" s="17">
        <v>265</v>
      </c>
      <c r="BY57" s="17">
        <v>285</v>
      </c>
      <c r="BZ57" s="17">
        <v>120</v>
      </c>
      <c r="CA57" s="18">
        <v>6425</v>
      </c>
      <c r="CB57" s="18">
        <v>4255</v>
      </c>
      <c r="CC57" s="18">
        <v>10395</v>
      </c>
      <c r="CD57" s="18">
        <v>14350</v>
      </c>
      <c r="CE57" s="18">
        <v>6245</v>
      </c>
      <c r="CF57" s="18">
        <v>4840</v>
      </c>
      <c r="CG57" s="18">
        <v>2815</v>
      </c>
      <c r="CH57" s="18">
        <v>2350</v>
      </c>
      <c r="CI57" s="18">
        <v>1255</v>
      </c>
      <c r="CJ57" s="18">
        <v>1230</v>
      </c>
      <c r="CK57" s="18">
        <v>265</v>
      </c>
      <c r="CL57" s="18">
        <v>48000</v>
      </c>
    </row>
    <row r="58" spans="1:90" ht="15" x14ac:dyDescent="0.15">
      <c r="A58" s="97" t="s">
        <v>56</v>
      </c>
      <c r="B58" s="99"/>
      <c r="C58" s="17">
        <v>5400</v>
      </c>
      <c r="D58" s="17">
        <v>25950</v>
      </c>
      <c r="E58" s="17">
        <v>16670</v>
      </c>
      <c r="F58" s="17">
        <v>8485</v>
      </c>
      <c r="G58" s="17">
        <v>6955</v>
      </c>
      <c r="H58" s="17">
        <v>4380</v>
      </c>
      <c r="I58" s="17">
        <v>3480</v>
      </c>
      <c r="J58" s="17">
        <v>1000</v>
      </c>
      <c r="K58" s="17">
        <v>675</v>
      </c>
      <c r="L58" s="17">
        <v>100</v>
      </c>
      <c r="M58" s="18">
        <v>73095</v>
      </c>
      <c r="N58" s="17">
        <v>150</v>
      </c>
      <c r="O58" s="17">
        <v>1450</v>
      </c>
      <c r="P58" s="17">
        <v>4485</v>
      </c>
      <c r="Q58" s="17">
        <v>2845</v>
      </c>
      <c r="R58" s="17">
        <v>1695</v>
      </c>
      <c r="S58" s="17">
        <v>655</v>
      </c>
      <c r="T58" s="17">
        <v>125</v>
      </c>
      <c r="U58" s="17">
        <v>5</v>
      </c>
      <c r="V58" s="17">
        <v>0</v>
      </c>
      <c r="W58" s="17">
        <v>0</v>
      </c>
      <c r="X58" s="18">
        <v>11410</v>
      </c>
      <c r="Y58" s="17">
        <v>45</v>
      </c>
      <c r="Z58" s="17">
        <v>40</v>
      </c>
      <c r="AA58" s="17">
        <v>495</v>
      </c>
      <c r="AB58" s="17">
        <v>1140</v>
      </c>
      <c r="AC58" s="17">
        <v>1580</v>
      </c>
      <c r="AD58" s="17">
        <v>2645</v>
      </c>
      <c r="AE58" s="17">
        <v>2335</v>
      </c>
      <c r="AF58" s="17">
        <v>245</v>
      </c>
      <c r="AG58" s="17">
        <v>65</v>
      </c>
      <c r="AH58" s="17">
        <v>0</v>
      </c>
      <c r="AI58" s="18">
        <v>8590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5</v>
      </c>
      <c r="AP58" s="17">
        <v>0</v>
      </c>
      <c r="AQ58" s="17">
        <v>0</v>
      </c>
      <c r="AR58" s="17">
        <v>0</v>
      </c>
      <c r="AS58" s="17">
        <v>0</v>
      </c>
      <c r="AT58" s="18">
        <v>5</v>
      </c>
      <c r="AU58" s="17">
        <v>0</v>
      </c>
      <c r="AV58" s="17">
        <v>0</v>
      </c>
      <c r="AW58" s="17">
        <v>5</v>
      </c>
      <c r="AX58" s="17">
        <v>0</v>
      </c>
      <c r="AY58" s="17">
        <v>5</v>
      </c>
      <c r="AZ58" s="17">
        <v>5</v>
      </c>
      <c r="BA58" s="17">
        <v>5</v>
      </c>
      <c r="BB58" s="17">
        <v>5</v>
      </c>
      <c r="BC58" s="17">
        <v>10</v>
      </c>
      <c r="BD58" s="17">
        <v>250</v>
      </c>
      <c r="BE58" s="18">
        <v>285</v>
      </c>
      <c r="BF58" s="17">
        <v>5</v>
      </c>
      <c r="BG58" s="17">
        <v>20</v>
      </c>
      <c r="BH58" s="17">
        <v>75</v>
      </c>
      <c r="BI58" s="17">
        <v>35</v>
      </c>
      <c r="BJ58" s="17">
        <v>5</v>
      </c>
      <c r="BK58" s="17">
        <v>5</v>
      </c>
      <c r="BL58" s="17">
        <v>5</v>
      </c>
      <c r="BM58" s="17">
        <v>0</v>
      </c>
      <c r="BN58" s="17">
        <v>5</v>
      </c>
      <c r="BO58" s="17">
        <v>5</v>
      </c>
      <c r="BP58" s="18">
        <v>160</v>
      </c>
      <c r="BQ58" s="17">
        <v>1005</v>
      </c>
      <c r="BR58" s="17">
        <v>3240</v>
      </c>
      <c r="BS58" s="17">
        <v>5845</v>
      </c>
      <c r="BT58" s="17">
        <v>4060</v>
      </c>
      <c r="BU58" s="17">
        <v>2725</v>
      </c>
      <c r="BV58" s="17">
        <v>1590</v>
      </c>
      <c r="BW58" s="17">
        <v>1065</v>
      </c>
      <c r="BX58" s="17">
        <v>365</v>
      </c>
      <c r="BY58" s="17">
        <v>275</v>
      </c>
      <c r="BZ58" s="17">
        <v>65</v>
      </c>
      <c r="CA58" s="18">
        <v>20235</v>
      </c>
      <c r="CB58" s="18">
        <v>6605</v>
      </c>
      <c r="CC58" s="18">
        <v>30700</v>
      </c>
      <c r="CD58" s="18">
        <v>27575</v>
      </c>
      <c r="CE58" s="18">
        <v>16565</v>
      </c>
      <c r="CF58" s="18">
        <v>12965</v>
      </c>
      <c r="CG58" s="18">
        <v>9285</v>
      </c>
      <c r="CH58" s="18">
        <v>7015</v>
      </c>
      <c r="CI58" s="18">
        <v>1620</v>
      </c>
      <c r="CJ58" s="18">
        <v>1030</v>
      </c>
      <c r="CK58" s="18">
        <v>420</v>
      </c>
      <c r="CL58" s="18">
        <v>113780</v>
      </c>
    </row>
    <row r="59" spans="1:90" ht="15" x14ac:dyDescent="0.15">
      <c r="A59" s="97" t="s">
        <v>57</v>
      </c>
      <c r="B59" s="99"/>
      <c r="C59" s="17">
        <v>20390</v>
      </c>
      <c r="D59" s="17">
        <v>29155</v>
      </c>
      <c r="E59" s="17">
        <v>39145</v>
      </c>
      <c r="F59" s="17">
        <v>12300</v>
      </c>
      <c r="G59" s="17">
        <v>6780</v>
      </c>
      <c r="H59" s="17">
        <v>3610</v>
      </c>
      <c r="I59" s="17">
        <v>2205</v>
      </c>
      <c r="J59" s="17">
        <v>745</v>
      </c>
      <c r="K59" s="17">
        <v>555</v>
      </c>
      <c r="L59" s="17">
        <v>145</v>
      </c>
      <c r="M59" s="18">
        <v>115030</v>
      </c>
      <c r="N59" s="17">
        <v>5435</v>
      </c>
      <c r="O59" s="17">
        <v>13760</v>
      </c>
      <c r="P59" s="17">
        <v>13555</v>
      </c>
      <c r="Q59" s="17">
        <v>2315</v>
      </c>
      <c r="R59" s="17">
        <v>685</v>
      </c>
      <c r="S59" s="17">
        <v>210</v>
      </c>
      <c r="T59" s="17">
        <v>90</v>
      </c>
      <c r="U59" s="17">
        <v>20</v>
      </c>
      <c r="V59" s="17">
        <v>10</v>
      </c>
      <c r="W59" s="17">
        <v>0</v>
      </c>
      <c r="X59" s="18">
        <v>36080</v>
      </c>
      <c r="Y59" s="17">
        <v>3060</v>
      </c>
      <c r="Z59" s="17">
        <v>1525</v>
      </c>
      <c r="AA59" s="17">
        <v>3140</v>
      </c>
      <c r="AB59" s="17">
        <v>975</v>
      </c>
      <c r="AC59" s="17">
        <v>390</v>
      </c>
      <c r="AD59" s="17">
        <v>130</v>
      </c>
      <c r="AE59" s="17">
        <v>50</v>
      </c>
      <c r="AF59" s="17">
        <v>15</v>
      </c>
      <c r="AG59" s="17">
        <v>5</v>
      </c>
      <c r="AH59" s="17">
        <v>0</v>
      </c>
      <c r="AI59" s="18">
        <v>9290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5</v>
      </c>
      <c r="AT59" s="18">
        <v>5</v>
      </c>
      <c r="AU59" s="17">
        <v>0</v>
      </c>
      <c r="AV59" s="17">
        <v>0</v>
      </c>
      <c r="AW59" s="17">
        <v>5</v>
      </c>
      <c r="AX59" s="17">
        <v>5</v>
      </c>
      <c r="AY59" s="17">
        <v>10</v>
      </c>
      <c r="AZ59" s="17">
        <v>5</v>
      </c>
      <c r="BA59" s="17">
        <v>10</v>
      </c>
      <c r="BB59" s="17">
        <v>10</v>
      </c>
      <c r="BC59" s="17">
        <v>15</v>
      </c>
      <c r="BD59" s="17">
        <v>5</v>
      </c>
      <c r="BE59" s="18">
        <v>65</v>
      </c>
      <c r="BF59" s="17">
        <v>15</v>
      </c>
      <c r="BG59" s="17">
        <v>15</v>
      </c>
      <c r="BH59" s="17">
        <v>30</v>
      </c>
      <c r="BI59" s="17">
        <v>20</v>
      </c>
      <c r="BJ59" s="17">
        <v>20</v>
      </c>
      <c r="BK59" s="17">
        <v>10</v>
      </c>
      <c r="BL59" s="17">
        <v>10</v>
      </c>
      <c r="BM59" s="17">
        <v>0</v>
      </c>
      <c r="BN59" s="17">
        <v>0</v>
      </c>
      <c r="BO59" s="17">
        <v>0</v>
      </c>
      <c r="BP59" s="18">
        <v>120</v>
      </c>
      <c r="BQ59" s="17">
        <v>5330</v>
      </c>
      <c r="BR59" s="17">
        <v>5020</v>
      </c>
      <c r="BS59" s="17">
        <v>7790</v>
      </c>
      <c r="BT59" s="17">
        <v>4290</v>
      </c>
      <c r="BU59" s="17">
        <v>2540</v>
      </c>
      <c r="BV59" s="17">
        <v>1335</v>
      </c>
      <c r="BW59" s="17">
        <v>740</v>
      </c>
      <c r="BX59" s="17">
        <v>240</v>
      </c>
      <c r="BY59" s="17">
        <v>200</v>
      </c>
      <c r="BZ59" s="17">
        <v>40</v>
      </c>
      <c r="CA59" s="18">
        <v>27525</v>
      </c>
      <c r="CB59" s="18">
        <v>34230</v>
      </c>
      <c r="CC59" s="18">
        <v>49475</v>
      </c>
      <c r="CD59" s="18">
        <v>63665</v>
      </c>
      <c r="CE59" s="18">
        <v>19905</v>
      </c>
      <c r="CF59" s="18">
        <v>10425</v>
      </c>
      <c r="CG59" s="18">
        <v>5300</v>
      </c>
      <c r="CH59" s="18">
        <v>3105</v>
      </c>
      <c r="CI59" s="18">
        <v>1030</v>
      </c>
      <c r="CJ59" s="18">
        <v>785</v>
      </c>
      <c r="CK59" s="18">
        <v>195</v>
      </c>
      <c r="CL59" s="18">
        <v>188115</v>
      </c>
    </row>
    <row r="60" spans="1:90" s="19" customFormat="1" ht="15" x14ac:dyDescent="0.15">
      <c r="A60" s="98" t="s">
        <v>11</v>
      </c>
      <c r="B60" s="100"/>
      <c r="C60" s="18">
        <v>241975</v>
      </c>
      <c r="D60" s="18">
        <v>406995</v>
      </c>
      <c r="E60" s="18">
        <v>667585</v>
      </c>
      <c r="F60" s="18">
        <v>288150</v>
      </c>
      <c r="G60" s="18">
        <v>186790</v>
      </c>
      <c r="H60" s="18">
        <v>113280</v>
      </c>
      <c r="I60" s="18">
        <v>82530</v>
      </c>
      <c r="J60" s="18">
        <v>32480</v>
      </c>
      <c r="K60" s="18">
        <v>29885</v>
      </c>
      <c r="L60" s="18">
        <v>9455</v>
      </c>
      <c r="M60" s="18">
        <v>2059125</v>
      </c>
      <c r="N60" s="18">
        <v>89075</v>
      </c>
      <c r="O60" s="18">
        <v>90575</v>
      </c>
      <c r="P60" s="18">
        <v>135945</v>
      </c>
      <c r="Q60" s="18">
        <v>54045</v>
      </c>
      <c r="R60" s="18">
        <v>20310</v>
      </c>
      <c r="S60" s="18">
        <v>5170</v>
      </c>
      <c r="T60" s="18">
        <v>1365</v>
      </c>
      <c r="U60" s="18">
        <v>200</v>
      </c>
      <c r="V60" s="18">
        <v>55</v>
      </c>
      <c r="W60" s="18">
        <v>0</v>
      </c>
      <c r="X60" s="18">
        <v>396740</v>
      </c>
      <c r="Y60" s="18">
        <v>33830</v>
      </c>
      <c r="Z60" s="18">
        <v>22800</v>
      </c>
      <c r="AA60" s="18">
        <v>47780</v>
      </c>
      <c r="AB60" s="18">
        <v>28585</v>
      </c>
      <c r="AC60" s="18">
        <v>18650</v>
      </c>
      <c r="AD60" s="18">
        <v>9670</v>
      </c>
      <c r="AE60" s="18">
        <v>4920</v>
      </c>
      <c r="AF60" s="18">
        <v>805</v>
      </c>
      <c r="AG60" s="18">
        <v>370</v>
      </c>
      <c r="AH60" s="18">
        <v>60</v>
      </c>
      <c r="AI60" s="18">
        <v>167470</v>
      </c>
      <c r="AJ60" s="18">
        <v>0</v>
      </c>
      <c r="AK60" s="18">
        <v>0</v>
      </c>
      <c r="AL60" s="18">
        <v>5</v>
      </c>
      <c r="AM60" s="18">
        <v>5</v>
      </c>
      <c r="AN60" s="18">
        <v>5</v>
      </c>
      <c r="AO60" s="18">
        <v>10</v>
      </c>
      <c r="AP60" s="18">
        <v>10</v>
      </c>
      <c r="AQ60" s="18">
        <v>5</v>
      </c>
      <c r="AR60" s="18">
        <v>55</v>
      </c>
      <c r="AS60" s="18">
        <v>70</v>
      </c>
      <c r="AT60" s="18">
        <v>165</v>
      </c>
      <c r="AU60" s="18">
        <v>105</v>
      </c>
      <c r="AV60" s="18">
        <v>60</v>
      </c>
      <c r="AW60" s="18">
        <v>115</v>
      </c>
      <c r="AX60" s="18">
        <v>140</v>
      </c>
      <c r="AY60" s="18">
        <v>210</v>
      </c>
      <c r="AZ60" s="18">
        <v>380</v>
      </c>
      <c r="BA60" s="18">
        <v>695</v>
      </c>
      <c r="BB60" s="18">
        <v>620</v>
      </c>
      <c r="BC60" s="18">
        <v>755</v>
      </c>
      <c r="BD60" s="18">
        <v>385</v>
      </c>
      <c r="BE60" s="18">
        <v>3465</v>
      </c>
      <c r="BF60" s="18">
        <v>360</v>
      </c>
      <c r="BG60" s="18">
        <v>4890</v>
      </c>
      <c r="BH60" s="18">
        <v>1625</v>
      </c>
      <c r="BI60" s="18">
        <v>480</v>
      </c>
      <c r="BJ60" s="18">
        <v>275</v>
      </c>
      <c r="BK60" s="18">
        <v>395</v>
      </c>
      <c r="BL60" s="18">
        <v>430</v>
      </c>
      <c r="BM60" s="18">
        <v>225</v>
      </c>
      <c r="BN60" s="18">
        <v>230</v>
      </c>
      <c r="BO60" s="18">
        <v>145</v>
      </c>
      <c r="BP60" s="18">
        <v>9055</v>
      </c>
      <c r="BQ60" s="18">
        <v>23320</v>
      </c>
      <c r="BR60" s="18">
        <v>12220</v>
      </c>
      <c r="BS60" s="18">
        <v>21610</v>
      </c>
      <c r="BT60" s="18">
        <v>13170</v>
      </c>
      <c r="BU60" s="18">
        <v>8420</v>
      </c>
      <c r="BV60" s="18">
        <v>4635</v>
      </c>
      <c r="BW60" s="18">
        <v>2945</v>
      </c>
      <c r="BX60" s="18">
        <v>1100</v>
      </c>
      <c r="BY60" s="18">
        <v>1000</v>
      </c>
      <c r="BZ60" s="18">
        <v>325</v>
      </c>
      <c r="CA60" s="18">
        <v>88745</v>
      </c>
      <c r="CB60" s="18">
        <v>388665</v>
      </c>
      <c r="CC60" s="18">
        <v>537540</v>
      </c>
      <c r="CD60" s="18">
        <v>874665</v>
      </c>
      <c r="CE60" s="18">
        <v>384575</v>
      </c>
      <c r="CF60" s="18">
        <v>234660</v>
      </c>
      <c r="CG60" s="18">
        <v>133540</v>
      </c>
      <c r="CH60" s="18">
        <v>92895</v>
      </c>
      <c r="CI60" s="18">
        <v>35435</v>
      </c>
      <c r="CJ60" s="18">
        <v>32350</v>
      </c>
      <c r="CK60" s="18">
        <v>10440</v>
      </c>
      <c r="CL60" s="18">
        <v>2724765</v>
      </c>
    </row>
    <row r="62" spans="1:90" x14ac:dyDescent="0.2">
      <c r="A62" s="16" t="s">
        <v>95</v>
      </c>
      <c r="B62" s="86">
        <f>((R35-C35)/C35)*(1/16)*100</f>
        <v>1.6620110109645048</v>
      </c>
      <c r="BF62" s="84"/>
      <c r="BG62" s="84"/>
      <c r="BH62" s="84"/>
      <c r="BI62" s="84"/>
      <c r="BJ62" s="84"/>
      <c r="BK62" s="84"/>
      <c r="BL62" s="84"/>
      <c r="BM62" s="84"/>
    </row>
    <row r="63" spans="1:90" x14ac:dyDescent="0.2">
      <c r="A63" s="16" t="s">
        <v>26</v>
      </c>
      <c r="B63" s="16">
        <f>(1+B62)^(1/12)-1</f>
        <v>8.5011032011090615E-2</v>
      </c>
    </row>
    <row r="65" spans="1:13" x14ac:dyDescent="0.2">
      <c r="A65" s="16" t="s">
        <v>98</v>
      </c>
      <c r="C65" s="85">
        <f t="shared" ref="C65:M65" si="0">CB60/$CL$60</f>
        <v>0.14264165900545553</v>
      </c>
      <c r="D65" s="85">
        <f t="shared" si="0"/>
        <v>0.19727939840683509</v>
      </c>
      <c r="E65" s="85">
        <f t="shared" si="0"/>
        <v>0.32100566470869962</v>
      </c>
      <c r="F65" s="85">
        <f t="shared" si="0"/>
        <v>0.14114061212618337</v>
      </c>
      <c r="G65" s="85">
        <f t="shared" si="0"/>
        <v>8.6121188432763923E-2</v>
      </c>
      <c r="H65" s="85">
        <f t="shared" si="0"/>
        <v>4.9009731114426379E-2</v>
      </c>
      <c r="I65" s="85">
        <f t="shared" si="0"/>
        <v>3.4092848374079963E-2</v>
      </c>
      <c r="J65" s="85">
        <f t="shared" si="0"/>
        <v>1.3004791238877482E-2</v>
      </c>
      <c r="K65" s="85">
        <f t="shared" si="0"/>
        <v>1.1872583507201539E-2</v>
      </c>
      <c r="L65" s="85">
        <f t="shared" si="0"/>
        <v>3.8315230854770962E-3</v>
      </c>
      <c r="M65" s="85">
        <f t="shared" si="0"/>
        <v>1</v>
      </c>
    </row>
    <row r="68" spans="1:13" ht="16" x14ac:dyDescent="0.2">
      <c r="A68" t="s">
        <v>102</v>
      </c>
      <c r="B68" t="s">
        <v>100</v>
      </c>
      <c r="C68" s="89">
        <f>N60+BQ60</f>
        <v>112395</v>
      </c>
      <c r="D68" s="89">
        <f t="shared" ref="D68:M68" si="1">O60+BR60</f>
        <v>102795</v>
      </c>
      <c r="E68" s="89">
        <f t="shared" si="1"/>
        <v>157555</v>
      </c>
      <c r="F68" s="89">
        <f t="shared" si="1"/>
        <v>67215</v>
      </c>
      <c r="G68" s="89">
        <f t="shared" si="1"/>
        <v>28730</v>
      </c>
      <c r="H68" s="89">
        <f t="shared" si="1"/>
        <v>9805</v>
      </c>
      <c r="I68" s="89">
        <f t="shared" si="1"/>
        <v>4310</v>
      </c>
      <c r="J68" s="89">
        <f t="shared" si="1"/>
        <v>1300</v>
      </c>
      <c r="K68" s="89">
        <f t="shared" si="1"/>
        <v>1055</v>
      </c>
      <c r="L68" s="89">
        <f t="shared" si="1"/>
        <v>325</v>
      </c>
      <c r="M68" s="89">
        <f t="shared" si="1"/>
        <v>485485</v>
      </c>
    </row>
    <row r="69" spans="1:13" x14ac:dyDescent="0.2">
      <c r="A69" s="16" t="s">
        <v>113</v>
      </c>
      <c r="B69" s="84">
        <f>M68/R35</f>
        <v>0.17817467162365999</v>
      </c>
    </row>
    <row r="70" spans="1:13" x14ac:dyDescent="0.2">
      <c r="C70" s="16">
        <f t="shared" ref="C70:I70" si="2">C68/BH60</f>
        <v>69.166153846153847</v>
      </c>
      <c r="D70" s="16">
        <f t="shared" si="2"/>
        <v>214.15625</v>
      </c>
      <c r="E70" s="16">
        <f t="shared" si="2"/>
        <v>572.92727272727268</v>
      </c>
      <c r="F70" s="16">
        <f t="shared" si="2"/>
        <v>170.16455696202533</v>
      </c>
      <c r="G70" s="16">
        <f t="shared" si="2"/>
        <v>66.813953488372093</v>
      </c>
      <c r="H70" s="16">
        <f t="shared" si="2"/>
        <v>43.577777777777776</v>
      </c>
      <c r="I70" s="16">
        <f t="shared" si="2"/>
        <v>18.739130434782609</v>
      </c>
    </row>
  </sheetData>
  <mergeCells count="11">
    <mergeCell ref="BE41:BO41"/>
    <mergeCell ref="BP41:BZ41"/>
    <mergeCell ref="CA41:CK41"/>
    <mergeCell ref="A7:A8"/>
    <mergeCell ref="B7:Q7"/>
    <mergeCell ref="A41:A42"/>
    <mergeCell ref="B41:L41"/>
    <mergeCell ref="M41:W41"/>
    <mergeCell ref="X41:AH41"/>
    <mergeCell ref="AI41:AS41"/>
    <mergeCell ref="AT41:BD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Income Statement (Margins)</vt:lpstr>
      <vt:lpstr>Business Pop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Baloch, Mahnoor</dc:creator>
  <cp:lastModifiedBy>Baloch, Mahnoor</cp:lastModifiedBy>
  <dcterms:created xsi:type="dcterms:W3CDTF">2024-10-17T08:39:29Z</dcterms:created>
  <dcterms:modified xsi:type="dcterms:W3CDTF">2024-10-23T13:25:59Z</dcterms:modified>
</cp:coreProperties>
</file>