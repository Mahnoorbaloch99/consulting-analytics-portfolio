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noorbaloch/Documents/USI/EMI/EMI-Costing v1/"/>
    </mc:Choice>
  </mc:AlternateContent>
  <xr:revisionPtr revIDLastSave="0" documentId="13_ncr:1_{09D4783F-6BD1-ED41-A4E6-CBD8B3443307}" xr6:coauthVersionLast="47" xr6:coauthVersionMax="47" xr10:uidLastSave="{00000000-0000-0000-0000-000000000000}"/>
  <bookViews>
    <workbookView xWindow="0" yWindow="740" windowWidth="29400" windowHeight="18380" xr2:uid="{AEA0BB19-470A-6646-BDA3-BDF082FC3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17" i="1"/>
</calcChain>
</file>

<file path=xl/sharedStrings.xml><?xml version="1.0" encoding="utf-8"?>
<sst xmlns="http://schemas.openxmlformats.org/spreadsheetml/2006/main" count="87" uniqueCount="86">
  <si>
    <t>Integrated Finance</t>
  </si>
  <si>
    <t>Relationship Manager:</t>
  </si>
  <si>
    <t>Status:</t>
  </si>
  <si>
    <t>Pending</t>
  </si>
  <si>
    <t xml:space="preserve">Commercial proposal </t>
  </si>
  <si>
    <t>Setup Costs</t>
  </si>
  <si>
    <t>Compliance Setup</t>
  </si>
  <si>
    <t xml:space="preserve">Including KYC and Transaction Monitoring setup-Contract with ComplyAdvantage </t>
  </si>
  <si>
    <t>Accounts Setup</t>
  </si>
  <si>
    <t xml:space="preserve">Card Pricing - Dedicated BINs </t>
  </si>
  <si>
    <t>BIN Purchase x 4</t>
  </si>
  <si>
    <t>IF Card Setup Costs</t>
  </si>
  <si>
    <t xml:space="preserve">BIN Setup Costs x 4 </t>
  </si>
  <si>
    <t xml:space="preserve">Including 4xBIN setup, Tokenization IF, Processing (Thredd), 3DS and Fraud Monitoring </t>
  </si>
  <si>
    <t>BIN Setup Costs x 4 (Manufacturer)</t>
  </si>
  <si>
    <t>Scheme Setup Costs x 4</t>
  </si>
  <si>
    <t>Estimate excluding Tokenization (VTS)--Passed through by TPL</t>
  </si>
  <si>
    <t>Total BIN and Card Setup Costs</t>
  </si>
  <si>
    <t>Fixed Monthly Costs:</t>
  </si>
  <si>
    <t xml:space="preserve">Compliance </t>
  </si>
  <si>
    <t>Including Screening and Monitoring how many checks included?</t>
  </si>
  <si>
    <t xml:space="preserve">Accounts Platform </t>
  </si>
  <si>
    <t>Including banking connection £500 per bank per month</t>
  </si>
  <si>
    <t>Cards Processing Platform</t>
  </si>
  <si>
    <t>Including PCI</t>
  </si>
  <si>
    <t>Tokenised Push Provisioning</t>
  </si>
  <si>
    <t>p/m--Two wallets bundle Apple and Google Pay</t>
  </si>
  <si>
    <t xml:space="preserve">ASPSP Open-API Support </t>
  </si>
  <si>
    <t>For 2 jurisdictions UK and EU--It's a mandated feature by TPL</t>
  </si>
  <si>
    <t xml:space="preserve">IF BIN Management </t>
  </si>
  <si>
    <t>Scheme Costs</t>
  </si>
  <si>
    <t>Passed through</t>
  </si>
  <si>
    <t>Total Monthly Fixed</t>
  </si>
  <si>
    <t>p/m</t>
  </si>
  <si>
    <t>Monthly Settlement Volume Charges</t>
  </si>
  <si>
    <t>£0-£5m 0.2%
£5m-£10m 0.15%
£10m+ 0.10%</t>
  </si>
  <si>
    <t>Passed through by IF from TPL</t>
  </si>
  <si>
    <t>Variable Costs:</t>
  </si>
  <si>
    <t>Account Creation (CB via TPL)</t>
  </si>
  <si>
    <t>Quite low--wonder if it's a mistake compared to TPL?</t>
  </si>
  <si>
    <t>Account Maintenance (CB via TPL)</t>
  </si>
  <si>
    <t>FasterPayments (CB via TPL)</t>
  </si>
  <si>
    <t>SEPA payments i/o</t>
  </si>
  <si>
    <t>CHAPS i/o</t>
  </si>
  <si>
    <t>Indication from IF</t>
  </si>
  <si>
    <t xml:space="preserve">Card Activation </t>
  </si>
  <si>
    <t>£0.05 per card one-off</t>
  </si>
  <si>
    <t>PAN generation--The digital and virtual card generation fee</t>
  </si>
  <si>
    <t>Card Residency</t>
  </si>
  <si>
    <t>£0.03 per active card p/m</t>
  </si>
  <si>
    <t xml:space="preserve">Tokenised Authorisation </t>
  </si>
  <si>
    <t>£0.03 per transaction</t>
  </si>
  <si>
    <t>3DS Enrollment</t>
  </si>
  <si>
    <t>£0.02 per card p/m</t>
  </si>
  <si>
    <t xml:space="preserve">3DS Authorisation </t>
  </si>
  <si>
    <t>Card Transaction Authorisation (per txn)</t>
  </si>
  <si>
    <t>£0.06 per txn</t>
  </si>
  <si>
    <t>Tiered-Starts from £0.06 for a volume of 0-100k</t>
  </si>
  <si>
    <t xml:space="preserve">Push Provisioning Variable </t>
  </si>
  <si>
    <t>£0.05 per push</t>
  </si>
  <si>
    <t>Ancillary Services Pricing</t>
  </si>
  <si>
    <t>Push Provisioning First Wallet</t>
  </si>
  <si>
    <t>£1,000 p/m</t>
  </si>
  <si>
    <t>Push Provisioning Additional Wallet</t>
  </si>
  <si>
    <t>£500 p/m</t>
  </si>
  <si>
    <t>Push Provision Two Wallets Bundle</t>
  </si>
  <si>
    <t>£1,350 p/m</t>
  </si>
  <si>
    <t>PCI Card Data SDK Connectivity</t>
  </si>
  <si>
    <t>£650 p/m</t>
  </si>
  <si>
    <t>Card Data Provision</t>
  </si>
  <si>
    <t>£0.01 per request</t>
  </si>
  <si>
    <t>review this maybe</t>
  </si>
  <si>
    <t>Monthly Minimum Card and Transaction Fees</t>
  </si>
  <si>
    <t>NA</t>
  </si>
  <si>
    <t xml:space="preserve">Interchange Split </t>
  </si>
  <si>
    <t>85/15</t>
  </si>
  <si>
    <t>In favour of USI</t>
  </si>
  <si>
    <t>Physical Cards Costs</t>
  </si>
  <si>
    <t>5,000 Cards £2.00 per card
10,000 Cards £1.90 per card
25,000 Cards £1.80 per card
50,000 Cards £1.60 per card</t>
  </si>
  <si>
    <t>After the initial set-up costs to approve the artwork and
set-up the print run, pricing is charged on a per order
basis dependending on the size of order.
Personalisation, packaging and fulfilment charged
separately so it needs to be added on top of the charge per card.</t>
  </si>
  <si>
    <t>-</t>
  </si>
  <si>
    <t>s</t>
  </si>
  <si>
    <t>copy &amp; pasting card details</t>
  </si>
  <si>
    <t>keep it on hold( no visibility)</t>
  </si>
  <si>
    <t>money back from the scheme</t>
  </si>
  <si>
    <t>additional revenue for USI- (other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</si>
</sst>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£&quot;#,##0_);[Red]\(&quot;£&quot;#,##0\)"/>
    <numFmt numFmtId="8" formatCode="&quot;£&quot;#,##0.00_);[Red]\(&quot;£&quot;#,##0.00\)"/>
    <numFmt numFmtId="164" formatCode="&quot;£&quot;#,##0;[Red]\-&quot;£&quot;#,##0"/>
    <numFmt numFmtId="165" formatCode="[$€-2]\ #,##0.00_);[Red]\([$€-2]\ #,##0.00\)"/>
  </numFmts>
  <fonts count="6" x14ac:knownFonts="1"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0" fontId="0" fillId="3" borderId="0" xfId="0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6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4" fillId="3" borderId="0" xfId="0" applyFont="1" applyFill="1"/>
    <xf numFmtId="6" fontId="4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8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horizontal="left" vertical="top"/>
    </xf>
    <xf numFmtId="10" fontId="0" fillId="3" borderId="0" xfId="0" applyNumberFormat="1" applyFill="1" applyAlignment="1">
      <alignment horizontal="center" vertical="top" wrapText="1"/>
    </xf>
    <xf numFmtId="0" fontId="0" fillId="3" borderId="0" xfId="0" applyFill="1" applyAlignment="1">
      <alignment vertical="top"/>
    </xf>
    <xf numFmtId="10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5" fillId="2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30A6-E570-F647-AEF4-26A0BC6AC1EF}">
  <dimension ref="A1:G50"/>
  <sheetViews>
    <sheetView tabSelected="1" topLeftCell="A22" workbookViewId="0">
      <selection activeCell="G50" sqref="G50"/>
    </sheetView>
  </sheetViews>
  <sheetFormatPr baseColWidth="10" defaultRowHeight="16" x14ac:dyDescent="0.2"/>
  <cols>
    <col min="1" max="3" width="51.6640625" customWidth="1"/>
  </cols>
  <sheetData>
    <row r="1" spans="1:3" x14ac:dyDescent="0.2">
      <c r="B1" s="1" t="s">
        <v>0</v>
      </c>
    </row>
    <row r="2" spans="1:3" x14ac:dyDescent="0.2">
      <c r="B2" s="1"/>
    </row>
    <row r="3" spans="1:3" x14ac:dyDescent="0.2">
      <c r="A3" t="s">
        <v>1</v>
      </c>
      <c r="B3" s="1" t="s">
        <v>80</v>
      </c>
    </row>
    <row r="4" spans="1:3" x14ac:dyDescent="0.2">
      <c r="A4" t="s">
        <v>2</v>
      </c>
      <c r="B4" s="1" t="s">
        <v>3</v>
      </c>
    </row>
    <row r="5" spans="1:3" x14ac:dyDescent="0.2">
      <c r="B5" s="1"/>
    </row>
    <row r="6" spans="1:3" x14ac:dyDescent="0.2">
      <c r="B6" s="2"/>
    </row>
    <row r="7" spans="1:3" x14ac:dyDescent="0.2">
      <c r="A7" s="3" t="s">
        <v>4</v>
      </c>
      <c r="B7" s="4"/>
      <c r="C7" s="5"/>
    </row>
    <row r="8" spans="1:3" x14ac:dyDescent="0.2">
      <c r="A8" s="6" t="s">
        <v>5</v>
      </c>
      <c r="B8" s="4"/>
      <c r="C8" s="5"/>
    </row>
    <row r="9" spans="1:3" x14ac:dyDescent="0.2">
      <c r="A9" s="7" t="s">
        <v>6</v>
      </c>
      <c r="B9" s="8">
        <v>2500</v>
      </c>
      <c r="C9" s="5" t="s">
        <v>7</v>
      </c>
    </row>
    <row r="10" spans="1:3" x14ac:dyDescent="0.2">
      <c r="A10" s="3" t="s">
        <v>8</v>
      </c>
      <c r="B10" s="8">
        <v>12500</v>
      </c>
      <c r="C10" s="5"/>
    </row>
    <row r="11" spans="1:3" x14ac:dyDescent="0.2">
      <c r="A11" s="3" t="s">
        <v>9</v>
      </c>
      <c r="B11" s="9"/>
      <c r="C11" s="5"/>
    </row>
    <row r="12" spans="1:3" x14ac:dyDescent="0.2">
      <c r="A12" s="3" t="s">
        <v>10</v>
      </c>
      <c r="B12" s="9">
        <v>12000</v>
      </c>
      <c r="C12" s="5"/>
    </row>
    <row r="13" spans="1:3" x14ac:dyDescent="0.2">
      <c r="A13" s="3" t="s">
        <v>11</v>
      </c>
      <c r="B13" s="9">
        <v>20000</v>
      </c>
      <c r="C13" s="5"/>
    </row>
    <row r="14" spans="1:3" x14ac:dyDescent="0.2">
      <c r="A14" s="3" t="s">
        <v>12</v>
      </c>
      <c r="B14" s="9">
        <v>55000</v>
      </c>
      <c r="C14" s="5" t="s">
        <v>13</v>
      </c>
    </row>
    <row r="15" spans="1:3" x14ac:dyDescent="0.2">
      <c r="A15" s="3" t="s">
        <v>14</v>
      </c>
      <c r="B15" s="9">
        <v>5000</v>
      </c>
      <c r="C15" s="5"/>
    </row>
    <row r="16" spans="1:3" x14ac:dyDescent="0.2">
      <c r="A16" s="3" t="s">
        <v>15</v>
      </c>
      <c r="B16" s="9">
        <v>30000</v>
      </c>
      <c r="C16" s="5" t="s">
        <v>16</v>
      </c>
    </row>
    <row r="17" spans="1:3" x14ac:dyDescent="0.2">
      <c r="A17" s="3" t="s">
        <v>17</v>
      </c>
      <c r="B17" s="9">
        <f>SUM(B12:B16)</f>
        <v>122000</v>
      </c>
      <c r="C17" s="5"/>
    </row>
    <row r="18" spans="1:3" x14ac:dyDescent="0.2">
      <c r="A18" s="3"/>
      <c r="B18" s="9"/>
      <c r="C18" s="9"/>
    </row>
    <row r="19" spans="1:3" x14ac:dyDescent="0.2">
      <c r="A19" s="6" t="s">
        <v>18</v>
      </c>
      <c r="B19" s="9"/>
      <c r="C19" s="5"/>
    </row>
    <row r="20" spans="1:3" x14ac:dyDescent="0.2">
      <c r="A20" s="3" t="s">
        <v>19</v>
      </c>
      <c r="B20" s="9" t="s">
        <v>81</v>
      </c>
      <c r="C20" s="5" t="s">
        <v>20</v>
      </c>
    </row>
    <row r="21" spans="1:3" x14ac:dyDescent="0.2">
      <c r="A21" s="3" t="s">
        <v>21</v>
      </c>
      <c r="B21" s="8">
        <v>4000</v>
      </c>
      <c r="C21" s="10" t="s">
        <v>22</v>
      </c>
    </row>
    <row r="22" spans="1:3" x14ac:dyDescent="0.2">
      <c r="A22" s="3" t="s">
        <v>23</v>
      </c>
      <c r="B22" s="8">
        <v>5650</v>
      </c>
      <c r="C22" s="5" t="s">
        <v>24</v>
      </c>
    </row>
    <row r="23" spans="1:3" x14ac:dyDescent="0.2">
      <c r="A23" s="3" t="s">
        <v>25</v>
      </c>
      <c r="B23" s="8">
        <v>1350</v>
      </c>
      <c r="C23" s="5" t="s">
        <v>26</v>
      </c>
    </row>
    <row r="24" spans="1:3" x14ac:dyDescent="0.2">
      <c r="A24" s="3" t="s">
        <v>27</v>
      </c>
      <c r="B24" s="8">
        <v>1750</v>
      </c>
      <c r="C24" s="5" t="s">
        <v>28</v>
      </c>
    </row>
    <row r="25" spans="1:3" x14ac:dyDescent="0.2">
      <c r="A25" s="7" t="s">
        <v>29</v>
      </c>
      <c r="B25" s="11">
        <v>4000</v>
      </c>
      <c r="C25" s="5"/>
    </row>
    <row r="26" spans="1:3" x14ac:dyDescent="0.2">
      <c r="A26" s="3" t="s">
        <v>30</v>
      </c>
      <c r="B26" s="8" t="s">
        <v>31</v>
      </c>
      <c r="C26" s="5"/>
    </row>
    <row r="27" spans="1:3" ht="17" x14ac:dyDescent="0.2">
      <c r="A27" s="12" t="s">
        <v>32</v>
      </c>
      <c r="B27" s="13">
        <f>SUM(B20:B26)</f>
        <v>16750</v>
      </c>
      <c r="C27" s="14" t="s">
        <v>33</v>
      </c>
    </row>
    <row r="28" spans="1:3" ht="51" x14ac:dyDescent="0.2">
      <c r="A28" s="15" t="s">
        <v>34</v>
      </c>
      <c r="B28" s="16" t="s">
        <v>35</v>
      </c>
      <c r="C28" s="17" t="s">
        <v>36</v>
      </c>
    </row>
    <row r="29" spans="1:3" x14ac:dyDescent="0.2">
      <c r="A29" s="6" t="s">
        <v>37</v>
      </c>
      <c r="B29" s="18"/>
      <c r="C29" s="5"/>
    </row>
    <row r="30" spans="1:3" x14ac:dyDescent="0.2">
      <c r="A30" s="3" t="s">
        <v>38</v>
      </c>
      <c r="B30" s="9">
        <v>0.05</v>
      </c>
      <c r="C30" s="5" t="s">
        <v>39</v>
      </c>
    </row>
    <row r="31" spans="1:3" x14ac:dyDescent="0.2">
      <c r="A31" s="3" t="s">
        <v>40</v>
      </c>
      <c r="B31" s="9">
        <v>0.18</v>
      </c>
      <c r="C31" s="5"/>
    </row>
    <row r="32" spans="1:3" x14ac:dyDescent="0.2">
      <c r="A32" s="3" t="s">
        <v>41</v>
      </c>
      <c r="B32" s="9">
        <v>0.25</v>
      </c>
      <c r="C32" s="5"/>
    </row>
    <row r="33" spans="1:4" x14ac:dyDescent="0.2">
      <c r="A33" s="3" t="s">
        <v>42</v>
      </c>
      <c r="B33" s="19">
        <v>0.25</v>
      </c>
      <c r="C33" s="5"/>
    </row>
    <row r="34" spans="1:4" x14ac:dyDescent="0.2">
      <c r="A34" s="3" t="s">
        <v>43</v>
      </c>
      <c r="B34" s="9">
        <v>15</v>
      </c>
      <c r="C34" s="5" t="s">
        <v>44</v>
      </c>
    </row>
    <row r="35" spans="1:4" x14ac:dyDescent="0.2">
      <c r="A35" s="3" t="s">
        <v>45</v>
      </c>
      <c r="B35" s="4" t="s">
        <v>46</v>
      </c>
      <c r="C35" s="5" t="s">
        <v>47</v>
      </c>
    </row>
    <row r="36" spans="1:4" x14ac:dyDescent="0.2">
      <c r="A36" s="3" t="s">
        <v>48</v>
      </c>
      <c r="B36" s="4" t="s">
        <v>49</v>
      </c>
      <c r="C36" s="5"/>
    </row>
    <row r="37" spans="1:4" x14ac:dyDescent="0.2">
      <c r="A37" s="3" t="s">
        <v>50</v>
      </c>
      <c r="B37" s="4" t="s">
        <v>51</v>
      </c>
      <c r="C37" s="5"/>
    </row>
    <row r="38" spans="1:4" x14ac:dyDescent="0.2">
      <c r="A38" s="3" t="s">
        <v>52</v>
      </c>
      <c r="B38" s="4" t="s">
        <v>53</v>
      </c>
      <c r="C38" s="5"/>
    </row>
    <row r="39" spans="1:4" x14ac:dyDescent="0.2">
      <c r="A39" s="3" t="s">
        <v>54</v>
      </c>
      <c r="B39" s="4" t="s">
        <v>51</v>
      </c>
      <c r="C39" s="5"/>
    </row>
    <row r="40" spans="1:4" x14ac:dyDescent="0.2">
      <c r="A40" s="3" t="s">
        <v>55</v>
      </c>
      <c r="B40" s="4" t="s">
        <v>56</v>
      </c>
      <c r="C40" s="5" t="s">
        <v>57</v>
      </c>
    </row>
    <row r="41" spans="1:4" x14ac:dyDescent="0.2">
      <c r="A41" s="3" t="s">
        <v>58</v>
      </c>
      <c r="B41" s="4" t="s">
        <v>59</v>
      </c>
      <c r="C41" s="5"/>
    </row>
    <row r="42" spans="1:4" x14ac:dyDescent="0.2">
      <c r="A42" s="20" t="s">
        <v>60</v>
      </c>
      <c r="B42" s="4"/>
      <c r="C42" s="5"/>
    </row>
    <row r="43" spans="1:4" x14ac:dyDescent="0.2">
      <c r="A43" s="3" t="s">
        <v>61</v>
      </c>
      <c r="B43" s="4" t="s">
        <v>62</v>
      </c>
      <c r="C43" s="5"/>
    </row>
    <row r="44" spans="1:4" x14ac:dyDescent="0.2">
      <c r="A44" s="3" t="s">
        <v>63</v>
      </c>
      <c r="B44" s="4" t="s">
        <v>64</v>
      </c>
      <c r="C44" s="5"/>
    </row>
    <row r="45" spans="1:4" x14ac:dyDescent="0.2">
      <c r="A45" s="3" t="s">
        <v>65</v>
      </c>
      <c r="B45" s="21" t="s">
        <v>66</v>
      </c>
      <c r="C45" s="5"/>
    </row>
    <row r="46" spans="1:4" x14ac:dyDescent="0.2">
      <c r="A46" s="3" t="s">
        <v>67</v>
      </c>
      <c r="B46" s="21" t="s">
        <v>68</v>
      </c>
      <c r="C46" s="5"/>
    </row>
    <row r="47" spans="1:4" x14ac:dyDescent="0.2">
      <c r="A47" s="3" t="s">
        <v>69</v>
      </c>
      <c r="B47" s="4" t="s">
        <v>70</v>
      </c>
      <c r="C47" s="5" t="s">
        <v>71</v>
      </c>
      <c r="D47" t="s">
        <v>82</v>
      </c>
    </row>
    <row r="48" spans="1:4" x14ac:dyDescent="0.2">
      <c r="A48" s="3" t="s">
        <v>72</v>
      </c>
      <c r="B48" s="4" t="s">
        <v>73</v>
      </c>
      <c r="C48" s="5"/>
    </row>
    <row r="49" spans="1:7" x14ac:dyDescent="0.2">
      <c r="A49" s="3" t="s">
        <v>74</v>
      </c>
      <c r="B49" s="22" t="s">
        <v>75</v>
      </c>
      <c r="C49" s="5" t="s">
        <v>76</v>
      </c>
      <c r="D49" t="s">
        <v>83</v>
      </c>
      <c r="E49" t="s">
        <v>84</v>
      </c>
      <c r="G49" t="s">
        <v>85</v>
      </c>
    </row>
    <row r="50" spans="1:7" ht="102" x14ac:dyDescent="0.2">
      <c r="A50" s="12" t="s">
        <v>77</v>
      </c>
      <c r="B50" s="23" t="s">
        <v>78</v>
      </c>
      <c r="C50" s="1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Chaimaa Aznag</dc:creator>
  <cp:lastModifiedBy>Baloch, Mahnoor</cp:lastModifiedBy>
  <dcterms:created xsi:type="dcterms:W3CDTF">2024-10-16T14:22:08Z</dcterms:created>
  <dcterms:modified xsi:type="dcterms:W3CDTF">2024-10-21T21:39:02Z</dcterms:modified>
</cp:coreProperties>
</file>